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Score_Predict\"/>
    </mc:Choice>
  </mc:AlternateContent>
  <xr:revisionPtr revIDLastSave="0" documentId="13_ncr:1_{BCA2F64D-7120-491C-AE95-99F02AC913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41" i="1" a="1"/>
  <c r="I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41" i="1" a="1"/>
  <c r="D41" i="1" s="1"/>
  <c r="I26" i="1" l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25" i="1" a="1"/>
  <c r="I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25" i="1" a="1"/>
  <c r="D25" i="1" s="1"/>
  <c r="I3" i="1" l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" i="1" a="1"/>
  <c r="I2" i="1" s="1"/>
  <c r="D3" i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" i="1" a="1"/>
  <c r="D2" i="1" s="1"/>
  <c r="O24" i="1" l="1" a="1"/>
  <c r="O24" i="1" s="1"/>
  <c r="O23" i="1" a="1"/>
  <c r="O23" i="1" s="1"/>
  <c r="O22" i="1" a="1"/>
  <c r="O22" i="1" s="1"/>
  <c r="O21" i="1" a="1"/>
  <c r="O21" i="1" s="1"/>
  <c r="O20" i="1" a="1"/>
  <c r="O20" i="1" s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O8" i="1" a="1"/>
  <c r="O8" i="1" s="1"/>
  <c r="O7" i="1" a="1"/>
  <c r="O7" i="1" s="1"/>
  <c r="O6" i="1" a="1"/>
  <c r="O6" i="1" s="1"/>
  <c r="O5" i="1" a="1"/>
  <c r="O5" i="1" s="1"/>
  <c r="O4" i="1" a="1"/>
  <c r="O4" i="1" s="1"/>
  <c r="O3" i="1" a="1"/>
  <c r="O3" i="1" s="1"/>
  <c r="O2" i="1" a="1"/>
  <c r="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<sst xmlns="http://schemas.openxmlformats.org/spreadsheetml/2006/main" count="250" uniqueCount="123">
  <si>
    <t>姓名</t>
    <phoneticPr fontId="1" type="noConversion"/>
  </si>
  <si>
    <t>學校</t>
    <phoneticPr fontId="1" type="noConversion"/>
  </si>
  <si>
    <t>類組</t>
    <phoneticPr fontId="1" type="noConversion"/>
  </si>
  <si>
    <t>李翊宏</t>
  </si>
  <si>
    <t>楊博凱</t>
  </si>
  <si>
    <t>郭力綸</t>
  </si>
  <si>
    <t>王宥惟</t>
  </si>
  <si>
    <t>陳柔臻</t>
  </si>
  <si>
    <t>周睿紘</t>
  </si>
  <si>
    <t>林承翰</t>
  </si>
  <si>
    <t>鄭芷欣</t>
  </si>
  <si>
    <t>朱迎甄</t>
  </si>
  <si>
    <t>龔韋任</t>
  </si>
  <si>
    <t>陳香妤</t>
  </si>
  <si>
    <t>王勝暉</t>
  </si>
  <si>
    <t>林恩頡</t>
  </si>
  <si>
    <t>陳昱安</t>
  </si>
  <si>
    <t>陳渼錞</t>
  </si>
  <si>
    <t>紀承亨</t>
  </si>
  <si>
    <t>莊雯涵</t>
  </si>
  <si>
    <t>張晏裴</t>
  </si>
  <si>
    <t>林宥妘</t>
  </si>
  <si>
    <t>李妍萱</t>
  </si>
  <si>
    <t>楊景泓</t>
  </si>
  <si>
    <t>陳奕安</t>
  </si>
  <si>
    <t>林祐漢</t>
  </si>
  <si>
    <t>學測_國文</t>
    <phoneticPr fontId="1" type="noConversion"/>
  </si>
  <si>
    <t>學測_英文</t>
    <phoneticPr fontId="1" type="noConversion"/>
  </si>
  <si>
    <t>學測_數A</t>
    <phoneticPr fontId="1" type="noConversion"/>
  </si>
  <si>
    <t>學測_數B</t>
    <phoneticPr fontId="1" type="noConversion"/>
  </si>
  <si>
    <t>學測_社會</t>
    <phoneticPr fontId="1" type="noConversion"/>
  </si>
  <si>
    <t>學測_自然</t>
    <phoneticPr fontId="1" type="noConversion"/>
  </si>
  <si>
    <t>陽明高中</t>
    <phoneticPr fontId="1" type="noConversion"/>
  </si>
  <si>
    <t>成淵高中</t>
    <phoneticPr fontId="1" type="noConversion"/>
  </si>
  <si>
    <t>大直高中</t>
    <phoneticPr fontId="1" type="noConversion"/>
  </si>
  <si>
    <t>百齡高中</t>
    <phoneticPr fontId="1" type="noConversion"/>
  </si>
  <si>
    <t>松山高中</t>
    <phoneticPr fontId="1" type="noConversion"/>
  </si>
  <si>
    <t>內湖高中</t>
    <phoneticPr fontId="1" type="noConversion"/>
  </si>
  <si>
    <t>中正高中</t>
    <phoneticPr fontId="1" type="noConversion"/>
  </si>
  <si>
    <t>復興高中</t>
    <phoneticPr fontId="1" type="noConversion"/>
  </si>
  <si>
    <t>泰山高中</t>
    <phoneticPr fontId="1" type="noConversion"/>
  </si>
  <si>
    <t>大安高工</t>
    <phoneticPr fontId="1" type="noConversion"/>
  </si>
  <si>
    <t>文組</t>
    <phoneticPr fontId="1" type="noConversion"/>
  </si>
  <si>
    <t>理組</t>
    <phoneticPr fontId="1" type="noConversion"/>
  </si>
  <si>
    <t>周士凱</t>
  </si>
  <si>
    <t>蔡宗霖</t>
  </si>
  <si>
    <t>何潔瑜</t>
  </si>
  <si>
    <t>沈佑勳</t>
  </si>
  <si>
    <t>紀慶宥</t>
  </si>
  <si>
    <t>孟容瑄</t>
  </si>
  <si>
    <t>顧家綺</t>
  </si>
  <si>
    <t>張秦瑜</t>
  </si>
  <si>
    <t>楊竣名</t>
  </si>
  <si>
    <t>陳宥楠</t>
  </si>
  <si>
    <t>何宜頡</t>
  </si>
  <si>
    <t>陳思妤</t>
  </si>
  <si>
    <t>何旻臻</t>
  </si>
  <si>
    <t>侯育臻</t>
  </si>
  <si>
    <t>黃毓庭</t>
  </si>
  <si>
    <t>鄭乃瑗</t>
    <phoneticPr fontId="1" type="noConversion"/>
  </si>
  <si>
    <t>陳宗佑</t>
  </si>
  <si>
    <t>郭星妤</t>
  </si>
  <si>
    <t>施宥辰</t>
  </si>
  <si>
    <t>蔡宇恩</t>
  </si>
  <si>
    <t>李孟樺</t>
  </si>
  <si>
    <t>方品云</t>
  </si>
  <si>
    <t>田嗣鴻</t>
  </si>
  <si>
    <t>黃為心</t>
  </si>
  <si>
    <t>劉思妤</t>
  </si>
  <si>
    <t>謝秉哲</t>
  </si>
  <si>
    <t>李翊志</t>
  </si>
  <si>
    <t>張程翔</t>
  </si>
  <si>
    <t>邱毅杰</t>
  </si>
  <si>
    <t>謝承恩</t>
  </si>
  <si>
    <t>王盛榮</t>
  </si>
  <si>
    <t>周筱瑜</t>
  </si>
  <si>
    <t>傅聖皓</t>
  </si>
  <si>
    <t>鄭芷帆</t>
  </si>
  <si>
    <t>游棨穎</t>
  </si>
  <si>
    <t>陳宥溱</t>
  </si>
  <si>
    <t>陳歆宜</t>
  </si>
  <si>
    <t>廖昀恩</t>
  </si>
  <si>
    <t>張亦佐</t>
  </si>
  <si>
    <t>林子宸</t>
  </si>
  <si>
    <t>汪宗諺</t>
  </si>
  <si>
    <t>吳欣哲</t>
  </si>
  <si>
    <t>陳竑愷</t>
  </si>
  <si>
    <t>王毓雯</t>
  </si>
  <si>
    <t>羅雅柔</t>
  </si>
  <si>
    <t>孫苡宸</t>
  </si>
  <si>
    <t>張庭瑄</t>
  </si>
  <si>
    <t>黃思瑗</t>
  </si>
  <si>
    <t>江謝睿恩</t>
  </si>
  <si>
    <t>李承縉</t>
  </si>
  <si>
    <t>徐孟鈞</t>
  </si>
  <si>
    <t>許乃元</t>
  </si>
  <si>
    <t>X</t>
  </si>
  <si>
    <t>麗山高中</t>
    <phoneticPr fontId="1" type="noConversion"/>
  </si>
  <si>
    <t>中崙高中</t>
    <phoneticPr fontId="1" type="noConversion"/>
  </si>
  <si>
    <t>竹圍高中</t>
    <phoneticPr fontId="1" type="noConversion"/>
  </si>
  <si>
    <t>大同高中</t>
    <phoneticPr fontId="1" type="noConversion"/>
  </si>
  <si>
    <t>景美女中</t>
    <phoneticPr fontId="1" type="noConversion"/>
  </si>
  <si>
    <t>明倫高中</t>
    <phoneticPr fontId="1" type="noConversion"/>
  </si>
  <si>
    <t>師大附中</t>
    <phoneticPr fontId="1" type="noConversion"/>
  </si>
  <si>
    <t>中山女中</t>
    <phoneticPr fontId="1" type="noConversion"/>
  </si>
  <si>
    <t>永平高中</t>
    <phoneticPr fontId="1" type="noConversion"/>
  </si>
  <si>
    <t>成功高中</t>
    <phoneticPr fontId="1" type="noConversion"/>
  </si>
  <si>
    <t>北一女中</t>
    <phoneticPr fontId="1" type="noConversion"/>
  </si>
  <si>
    <t>新北高中</t>
    <phoneticPr fontId="1" type="noConversion"/>
  </si>
  <si>
    <t>幼華高中</t>
    <phoneticPr fontId="1" type="noConversion"/>
  </si>
  <si>
    <t>三民高中</t>
    <phoneticPr fontId="1" type="noConversion"/>
  </si>
  <si>
    <t>私大同高中</t>
    <phoneticPr fontId="1" type="noConversion"/>
  </si>
  <si>
    <t>模考1_國文</t>
  </si>
  <si>
    <t>模考1_英文</t>
    <phoneticPr fontId="1" type="noConversion"/>
  </si>
  <si>
    <t>模考1_自然</t>
    <phoneticPr fontId="1" type="noConversion"/>
  </si>
  <si>
    <t>模考1_社會</t>
    <phoneticPr fontId="1" type="noConversion"/>
  </si>
  <si>
    <t>模考2_國文</t>
  </si>
  <si>
    <t>模考2_英文</t>
  </si>
  <si>
    <t>模考2_數A</t>
  </si>
  <si>
    <t>模考2_數B</t>
  </si>
  <si>
    <t>模考2_自然</t>
  </si>
  <si>
    <t>模考2_社會</t>
  </si>
  <si>
    <t>模考1_數學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</si>
</sst>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ropbox/&#25945;&#21209;&#37096;&#38272;/S&#36628;&#23566;&#32769;&#24107;&#20426;&#29771;/&#39640;&#19977;&#20107;&#21209;/&#39640;&#19977;&#27169;&#25836;&#32771;&#25104;&#32318;.xlsx" TargetMode="External"/><Relationship Id="rId2" Type="http://schemas.openxmlformats.org/officeDocument/2006/relationships/externalLinkPath" Target="file:///C:\Users\user\Dropbox\&#25945;&#21209;&#37096;&#38272;\S&#36628;&#23566;&#32769;&#24107;&#20426;&#29771;\&#39640;&#19977;&#20107;&#21209;\&#39640;&#19977;&#27169;&#25836;&#32771;&#25104;&#32318;.xlsx" TargetMode="External"/><Relationship Id="rId1" Type="http://schemas.openxmlformats.org/officeDocument/2006/relationships/externalLinkPath" Target="/Users/user/Dropbox/&#25945;&#21209;&#37096;&#38272;/S&#36628;&#23566;&#32769;&#24107;&#20426;&#29771;/&#39640;&#19977;&#20107;&#21209;/&#39640;&#19977;&#27169;&#25836;&#32771;&#25104;&#32318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ropbox/&#25945;&#21209;&#37096;&#38272;/S&#36628;&#23566;&#32769;&#24107;&#20426;&#29771;/&#39640;&#19977;&#20107;&#21209;/&#21319;&#39640;&#19977;&#33258;&#25105;&#35413;&#20272;/114/114&#39640;&#19977;&#27169;&#25836;&#32771;&#25104;&#32318;.xlsx" TargetMode="External"/><Relationship Id="rId2" Type="http://schemas.openxmlformats.org/officeDocument/2006/relationships/externalLinkPath" Target="file:///C:\Users\user\Dropbox\&#25945;&#21209;&#37096;&#38272;\S&#36628;&#23566;&#32769;&#24107;&#20426;&#29771;\&#39640;&#19977;&#20107;&#21209;\&#21319;&#39640;&#19977;&#33258;&#25105;&#35413;&#20272;\114\114&#39640;&#19977;&#27169;&#25836;&#32771;&#25104;&#32318;.xlsx" TargetMode="External"/><Relationship Id="rId1" Type="http://schemas.openxmlformats.org/officeDocument/2006/relationships/externalLinkPath" Target="/Users/user/Dropbox/&#25945;&#21209;&#37096;&#38272;/S&#36628;&#23566;&#32769;&#24107;&#20426;&#29771;/&#39640;&#19977;&#20107;&#21209;/&#21319;&#39640;&#19977;&#33258;&#25105;&#35413;&#20272;/114/114&#39640;&#19977;&#27169;&#25836;&#32771;&#25104;&#32318;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ropbox/&#25945;&#21209;&#37096;&#38272;/S&#36628;&#23566;&#32769;&#24107;&#20426;&#29771;/&#39640;&#19977;&#20107;&#21209;/&#21319;&#39640;&#19977;&#33258;&#25105;&#35413;&#20272;/115/115&#39640;&#19977;&#27169;&#25836;&#32771;&#25104;&#32318;.xlsx" TargetMode="External"/><Relationship Id="rId2" Type="http://schemas.openxmlformats.org/officeDocument/2006/relationships/externalLinkPath" Target="file:///C:\Users\user\Dropbox\&#25945;&#21209;&#37096;&#38272;\S&#36628;&#23566;&#32769;&#24107;&#20426;&#29771;\&#39640;&#19977;&#20107;&#21209;\&#21319;&#39640;&#19977;&#33258;&#25105;&#35413;&#20272;\115\115&#39640;&#19977;&#27169;&#25836;&#32771;&#25104;&#32318;.xlsx" TargetMode="External"/><Relationship Id="rId1" Type="http://schemas.openxmlformats.org/officeDocument/2006/relationships/externalLinkPath" Target="/Users/user/Dropbox/&#25945;&#21209;&#37096;&#38272;/S&#36628;&#23566;&#32769;&#24107;&#20426;&#29771;/&#39640;&#19977;&#20107;&#21209;/&#21319;&#39640;&#19977;&#33258;&#25105;&#35413;&#20272;/115/115&#39640;&#19977;&#27169;&#25836;&#32771;&#25104;&#3231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第一次落點分析 "/>
      <sheetName val="第二次落點分析"/>
      <sheetName val="113學測"/>
    </sheetNames>
    <sheetDataSet>
      <sheetData sheetId="0">
        <row r="1">
          <cell r="B1" t="str">
            <v>範圍</v>
          </cell>
          <cell r="C1" t="str">
            <v>第一次學測模擬考</v>
          </cell>
        </row>
        <row r="2">
          <cell r="B2" t="str">
            <v>科目</v>
          </cell>
          <cell r="C2" t="str">
            <v>國文</v>
          </cell>
          <cell r="D2" t="str">
            <v>英文</v>
          </cell>
          <cell r="E2" t="str">
            <v>數學</v>
          </cell>
          <cell r="F2" t="str">
            <v>自然</v>
          </cell>
          <cell r="G2" t="str">
            <v>社會</v>
          </cell>
        </row>
        <row r="3">
          <cell r="B3" t="str">
            <v>楊博凱</v>
          </cell>
          <cell r="C3">
            <v>10</v>
          </cell>
          <cell r="D3">
            <v>6</v>
          </cell>
          <cell r="E3">
            <v>6</v>
          </cell>
          <cell r="F3" t="str">
            <v>－</v>
          </cell>
          <cell r="G3">
            <v>10</v>
          </cell>
        </row>
        <row r="4">
          <cell r="B4" t="str">
            <v>郭力綸</v>
          </cell>
          <cell r="C4">
            <v>10</v>
          </cell>
          <cell r="D4">
            <v>10</v>
          </cell>
          <cell r="E4">
            <v>13</v>
          </cell>
          <cell r="F4">
            <v>15</v>
          </cell>
          <cell r="G4" t="str">
            <v>－</v>
          </cell>
        </row>
        <row r="5">
          <cell r="B5" t="str">
            <v>王宥惟</v>
          </cell>
          <cell r="C5">
            <v>11</v>
          </cell>
          <cell r="D5">
            <v>5</v>
          </cell>
          <cell r="E5">
            <v>10</v>
          </cell>
          <cell r="F5" t="str">
            <v>－</v>
          </cell>
          <cell r="G5">
            <v>13</v>
          </cell>
        </row>
        <row r="6">
          <cell r="B6" t="str">
            <v>陳柔臻</v>
          </cell>
          <cell r="C6">
            <v>11</v>
          </cell>
          <cell r="D6">
            <v>5</v>
          </cell>
          <cell r="E6">
            <v>8</v>
          </cell>
          <cell r="F6">
            <v>8</v>
          </cell>
          <cell r="G6" t="str">
            <v>－</v>
          </cell>
        </row>
        <row r="7">
          <cell r="B7" t="str">
            <v>周睿紘</v>
          </cell>
          <cell r="C7">
            <v>9</v>
          </cell>
          <cell r="D7">
            <v>6</v>
          </cell>
          <cell r="E7">
            <v>13</v>
          </cell>
          <cell r="F7">
            <v>9</v>
          </cell>
          <cell r="G7" t="str">
            <v>－</v>
          </cell>
        </row>
        <row r="8">
          <cell r="B8" t="str">
            <v>林承翰</v>
          </cell>
          <cell r="C8">
            <v>9</v>
          </cell>
          <cell r="D8">
            <v>14</v>
          </cell>
          <cell r="E8">
            <v>8</v>
          </cell>
          <cell r="F8">
            <v>9</v>
          </cell>
          <cell r="G8">
            <v>12</v>
          </cell>
        </row>
        <row r="9">
          <cell r="B9" t="str">
            <v>鄭芷欣</v>
          </cell>
          <cell r="C9">
            <v>12</v>
          </cell>
          <cell r="D9">
            <v>7</v>
          </cell>
          <cell r="E9">
            <v>12</v>
          </cell>
          <cell r="F9">
            <v>11</v>
          </cell>
          <cell r="G9" t="str">
            <v>－</v>
          </cell>
        </row>
        <row r="10">
          <cell r="B10" t="str">
            <v>朱迎甄</v>
          </cell>
          <cell r="C10">
            <v>13</v>
          </cell>
          <cell r="D10">
            <v>9</v>
          </cell>
          <cell r="E10">
            <v>5</v>
          </cell>
          <cell r="G10">
            <v>11</v>
          </cell>
        </row>
        <row r="11">
          <cell r="B11" t="str">
            <v>龔韋任</v>
          </cell>
          <cell r="C11">
            <v>13</v>
          </cell>
          <cell r="D11">
            <v>11</v>
          </cell>
          <cell r="E11">
            <v>15</v>
          </cell>
          <cell r="F11">
            <v>14</v>
          </cell>
          <cell r="G11">
            <v>8</v>
          </cell>
        </row>
        <row r="12">
          <cell r="B12" t="str">
            <v>陳香妤</v>
          </cell>
          <cell r="C12">
            <v>11</v>
          </cell>
          <cell r="D12">
            <v>12</v>
          </cell>
          <cell r="E12">
            <v>8</v>
          </cell>
          <cell r="F12">
            <v>8</v>
          </cell>
          <cell r="G12">
            <v>13</v>
          </cell>
        </row>
        <row r="13">
          <cell r="B13" t="str">
            <v>王勝暉</v>
          </cell>
          <cell r="C13">
            <v>11</v>
          </cell>
          <cell r="D13">
            <v>9</v>
          </cell>
          <cell r="E13">
            <v>9</v>
          </cell>
          <cell r="F13">
            <v>11</v>
          </cell>
          <cell r="G13" t="str">
            <v>－</v>
          </cell>
        </row>
        <row r="14">
          <cell r="B14" t="str">
            <v>林恩頡</v>
          </cell>
          <cell r="C14">
            <v>13</v>
          </cell>
          <cell r="D14">
            <v>9</v>
          </cell>
          <cell r="E14">
            <v>11</v>
          </cell>
          <cell r="F14">
            <v>10</v>
          </cell>
          <cell r="G14">
            <v>5</v>
          </cell>
        </row>
        <row r="15">
          <cell r="B15" t="str">
            <v>陳昱安</v>
          </cell>
          <cell r="C15">
            <v>10</v>
          </cell>
          <cell r="D15">
            <v>8</v>
          </cell>
          <cell r="E15">
            <v>11</v>
          </cell>
          <cell r="F15">
            <v>9</v>
          </cell>
          <cell r="G15" t="str">
            <v>－</v>
          </cell>
        </row>
        <row r="16">
          <cell r="B16" t="str">
            <v>陳渼錞</v>
          </cell>
          <cell r="C16">
            <v>12</v>
          </cell>
          <cell r="D16">
            <v>8</v>
          </cell>
          <cell r="E16">
            <v>8</v>
          </cell>
          <cell r="F16">
            <v>5</v>
          </cell>
          <cell r="G16" t="str">
            <v>－</v>
          </cell>
        </row>
        <row r="17">
          <cell r="B17" t="str">
            <v>紀承亨</v>
          </cell>
          <cell r="C17">
            <v>8</v>
          </cell>
          <cell r="D17">
            <v>3</v>
          </cell>
          <cell r="E17">
            <v>6</v>
          </cell>
          <cell r="F17">
            <v>6</v>
          </cell>
          <cell r="G17" t="str">
            <v>－</v>
          </cell>
        </row>
        <row r="18">
          <cell r="B18" t="str">
            <v>莊雯涵</v>
          </cell>
          <cell r="C18">
            <v>10</v>
          </cell>
          <cell r="D18">
            <v>3</v>
          </cell>
          <cell r="E18">
            <v>5</v>
          </cell>
          <cell r="F18">
            <v>8</v>
          </cell>
          <cell r="G18" t="str">
            <v>－</v>
          </cell>
        </row>
        <row r="19">
          <cell r="B19" t="str">
            <v>李翊宏</v>
          </cell>
          <cell r="C19">
            <v>11</v>
          </cell>
          <cell r="D19">
            <v>5</v>
          </cell>
          <cell r="E19">
            <v>9</v>
          </cell>
          <cell r="F19">
            <v>7</v>
          </cell>
          <cell r="G19">
            <v>7</v>
          </cell>
        </row>
        <row r="20">
          <cell r="B20" t="str">
            <v>張晏裴</v>
          </cell>
          <cell r="C20">
            <v>8</v>
          </cell>
          <cell r="D20">
            <v>6</v>
          </cell>
          <cell r="E20">
            <v>2</v>
          </cell>
          <cell r="G20">
            <v>8</v>
          </cell>
        </row>
        <row r="21">
          <cell r="B21" t="str">
            <v>陳宥妘</v>
          </cell>
          <cell r="C21">
            <v>9</v>
          </cell>
          <cell r="D21">
            <v>4</v>
          </cell>
          <cell r="E21">
            <v>3</v>
          </cell>
          <cell r="G21">
            <v>6</v>
          </cell>
        </row>
        <row r="22">
          <cell r="B22" t="str">
            <v>李妍萱</v>
          </cell>
          <cell r="C22">
            <v>9</v>
          </cell>
          <cell r="D22">
            <v>3</v>
          </cell>
          <cell r="E22">
            <v>4</v>
          </cell>
          <cell r="G22">
            <v>9</v>
          </cell>
        </row>
        <row r="23">
          <cell r="B23" t="str">
            <v>楊景泓</v>
          </cell>
          <cell r="C23">
            <v>10</v>
          </cell>
          <cell r="D23">
            <v>6</v>
          </cell>
          <cell r="E23">
            <v>7</v>
          </cell>
          <cell r="F23">
            <v>9</v>
          </cell>
          <cell r="G23" t="str">
            <v>－</v>
          </cell>
        </row>
        <row r="24">
          <cell r="B24" t="str">
            <v>陳奕安</v>
          </cell>
          <cell r="C24">
            <v>11</v>
          </cell>
          <cell r="D24">
            <v>11</v>
          </cell>
          <cell r="E24">
            <v>8</v>
          </cell>
          <cell r="F24" t="str">
            <v>－</v>
          </cell>
          <cell r="G24">
            <v>12</v>
          </cell>
        </row>
        <row r="25">
          <cell r="B25" t="str">
            <v>林祐漢</v>
          </cell>
          <cell r="C25">
            <v>9</v>
          </cell>
          <cell r="D25">
            <v>4</v>
          </cell>
          <cell r="E25">
            <v>6</v>
          </cell>
          <cell r="F25">
            <v>4</v>
          </cell>
          <cell r="G25">
            <v>8</v>
          </cell>
        </row>
        <row r="26">
          <cell r="B26" t="str">
            <v>頂標</v>
          </cell>
          <cell r="C26">
            <v>11</v>
          </cell>
          <cell r="D26">
            <v>13</v>
          </cell>
          <cell r="E26">
            <v>12</v>
          </cell>
          <cell r="F26">
            <v>12</v>
          </cell>
          <cell r="G26">
            <v>12</v>
          </cell>
        </row>
        <row r="27">
          <cell r="B27" t="str">
            <v>前標</v>
          </cell>
          <cell r="C27">
            <v>9</v>
          </cell>
          <cell r="D27">
            <v>13</v>
          </cell>
          <cell r="E27">
            <v>10</v>
          </cell>
          <cell r="F27">
            <v>10</v>
          </cell>
          <cell r="G27">
            <v>11</v>
          </cell>
        </row>
        <row r="28">
          <cell r="B28" t="str">
            <v>均標</v>
          </cell>
          <cell r="C28">
            <v>6</v>
          </cell>
          <cell r="D28">
            <v>11</v>
          </cell>
          <cell r="E28">
            <v>7</v>
          </cell>
          <cell r="F28">
            <v>8</v>
          </cell>
          <cell r="G28">
            <v>9</v>
          </cell>
        </row>
        <row r="29">
          <cell r="B29" t="str">
            <v>後標</v>
          </cell>
          <cell r="C29">
            <v>4</v>
          </cell>
          <cell r="D29">
            <v>9</v>
          </cell>
          <cell r="E29">
            <v>5</v>
          </cell>
          <cell r="F29">
            <v>6</v>
          </cell>
          <cell r="G29">
            <v>7</v>
          </cell>
        </row>
        <row r="30">
          <cell r="B30" t="str">
            <v>底標</v>
          </cell>
          <cell r="C30">
            <v>3</v>
          </cell>
          <cell r="D30">
            <v>8</v>
          </cell>
          <cell r="E30">
            <v>4</v>
          </cell>
          <cell r="F30">
            <v>4</v>
          </cell>
          <cell r="G30">
            <v>6</v>
          </cell>
        </row>
      </sheetData>
      <sheetData sheetId="1">
        <row r="1">
          <cell r="B1" t="str">
            <v>範圍</v>
          </cell>
        </row>
        <row r="2">
          <cell r="B2" t="str">
            <v>科目</v>
          </cell>
          <cell r="C2" t="str">
            <v>國文</v>
          </cell>
          <cell r="D2" t="str">
            <v>英文</v>
          </cell>
          <cell r="E2" t="str">
            <v>數A</v>
          </cell>
          <cell r="F2" t="str">
            <v>數B</v>
          </cell>
          <cell r="G2" t="str">
            <v>自然</v>
          </cell>
          <cell r="H2" t="str">
            <v>社會</v>
          </cell>
        </row>
        <row r="3">
          <cell r="B3" t="str">
            <v>楊博凱</v>
          </cell>
          <cell r="C3">
            <v>11</v>
          </cell>
          <cell r="D3">
            <v>10</v>
          </cell>
          <cell r="E3">
            <v>7</v>
          </cell>
          <cell r="F3">
            <v>9</v>
          </cell>
          <cell r="G3" t="str">
            <v>－</v>
          </cell>
          <cell r="H3">
            <v>13</v>
          </cell>
        </row>
        <row r="4">
          <cell r="B4" t="str">
            <v>郭力綸</v>
          </cell>
          <cell r="C4">
            <v>9</v>
          </cell>
          <cell r="D4">
            <v>13</v>
          </cell>
          <cell r="E4">
            <v>14</v>
          </cell>
          <cell r="F4" t="str">
            <v>－</v>
          </cell>
          <cell r="G4">
            <v>13</v>
          </cell>
          <cell r="H4" t="str">
            <v>－</v>
          </cell>
        </row>
        <row r="5">
          <cell r="B5" t="str">
            <v>王宥惟</v>
          </cell>
          <cell r="C5">
            <v>12</v>
          </cell>
          <cell r="D5">
            <v>7</v>
          </cell>
          <cell r="E5">
            <v>9</v>
          </cell>
          <cell r="F5">
            <v>12</v>
          </cell>
          <cell r="G5" t="str">
            <v>－</v>
          </cell>
          <cell r="H5">
            <v>14</v>
          </cell>
        </row>
        <row r="6">
          <cell r="B6" t="str">
            <v>陳柔臻</v>
          </cell>
          <cell r="C6">
            <v>12</v>
          </cell>
          <cell r="D6">
            <v>8</v>
          </cell>
          <cell r="E6">
            <v>9</v>
          </cell>
          <cell r="F6" t="str">
            <v>－</v>
          </cell>
          <cell r="G6">
            <v>11</v>
          </cell>
          <cell r="H6" t="str">
            <v>－</v>
          </cell>
        </row>
        <row r="7">
          <cell r="B7" t="str">
            <v>周睿紘</v>
          </cell>
          <cell r="C7">
            <v>8</v>
          </cell>
          <cell r="D7">
            <v>8</v>
          </cell>
          <cell r="E7">
            <v>9</v>
          </cell>
          <cell r="F7" t="str">
            <v>－</v>
          </cell>
          <cell r="G7">
            <v>9</v>
          </cell>
          <cell r="H7" t="str">
            <v>－</v>
          </cell>
        </row>
        <row r="8">
          <cell r="B8" t="str">
            <v>林承翰</v>
          </cell>
          <cell r="C8">
            <v>13</v>
          </cell>
          <cell r="D8">
            <v>14</v>
          </cell>
          <cell r="E8">
            <v>8</v>
          </cell>
          <cell r="F8" t="str">
            <v>－</v>
          </cell>
          <cell r="G8">
            <v>8</v>
          </cell>
          <cell r="H8">
            <v>12</v>
          </cell>
        </row>
        <row r="9">
          <cell r="B9" t="str">
            <v>鄭芷欣</v>
          </cell>
          <cell r="C9">
            <v>13</v>
          </cell>
          <cell r="D9">
            <v>10</v>
          </cell>
          <cell r="E9">
            <v>10</v>
          </cell>
          <cell r="F9" t="str">
            <v>－</v>
          </cell>
          <cell r="G9">
            <v>11</v>
          </cell>
          <cell r="H9" t="str">
            <v>－</v>
          </cell>
        </row>
        <row r="10">
          <cell r="B10" t="str">
            <v>朱迎甄</v>
          </cell>
          <cell r="C10">
            <v>11</v>
          </cell>
          <cell r="D10">
            <v>10</v>
          </cell>
          <cell r="E10">
            <v>6</v>
          </cell>
          <cell r="F10">
            <v>7</v>
          </cell>
          <cell r="G10" t="str">
            <v>－</v>
          </cell>
          <cell r="H10">
            <v>12</v>
          </cell>
        </row>
        <row r="11">
          <cell r="B11" t="str">
            <v>龔韋任</v>
          </cell>
          <cell r="C11">
            <v>13</v>
          </cell>
          <cell r="D11">
            <v>13</v>
          </cell>
          <cell r="E11">
            <v>12</v>
          </cell>
          <cell r="F11">
            <v>13</v>
          </cell>
          <cell r="G11">
            <v>14</v>
          </cell>
          <cell r="H11" t="str">
            <v>－</v>
          </cell>
        </row>
        <row r="12">
          <cell r="B12" t="str">
            <v>陳香妤</v>
          </cell>
          <cell r="C12">
            <v>12</v>
          </cell>
          <cell r="D12">
            <v>14</v>
          </cell>
          <cell r="E12">
            <v>6</v>
          </cell>
          <cell r="F12">
            <v>10</v>
          </cell>
          <cell r="G12">
            <v>7</v>
          </cell>
          <cell r="H12">
            <v>14</v>
          </cell>
        </row>
        <row r="13">
          <cell r="B13" t="str">
            <v>王勝暉</v>
          </cell>
          <cell r="C13">
            <v>12</v>
          </cell>
          <cell r="D13">
            <v>11</v>
          </cell>
          <cell r="E13">
            <v>14</v>
          </cell>
          <cell r="F13">
            <v>12</v>
          </cell>
          <cell r="G13">
            <v>10</v>
          </cell>
          <cell r="H13">
            <v>8</v>
          </cell>
        </row>
        <row r="14">
          <cell r="B14" t="str">
            <v>林恩頡</v>
          </cell>
          <cell r="C14">
            <v>10</v>
          </cell>
          <cell r="D14">
            <v>11</v>
          </cell>
          <cell r="E14">
            <v>10</v>
          </cell>
          <cell r="F14" t="str">
            <v>－</v>
          </cell>
          <cell r="G14">
            <v>8</v>
          </cell>
          <cell r="H14" t="str">
            <v>－</v>
          </cell>
        </row>
        <row r="15">
          <cell r="B15" t="str">
            <v>陳昱安</v>
          </cell>
          <cell r="C15">
            <v>10</v>
          </cell>
          <cell r="D15">
            <v>9</v>
          </cell>
          <cell r="E15">
            <v>13</v>
          </cell>
          <cell r="F15" t="str">
            <v>－</v>
          </cell>
          <cell r="G15">
            <v>11</v>
          </cell>
          <cell r="H15" t="str">
            <v>－</v>
          </cell>
        </row>
        <row r="16">
          <cell r="B16" t="str">
            <v>陳渼錞</v>
          </cell>
          <cell r="C16">
            <v>11</v>
          </cell>
          <cell r="D16">
            <v>8</v>
          </cell>
          <cell r="E16">
            <v>4</v>
          </cell>
          <cell r="F16">
            <v>9</v>
          </cell>
          <cell r="G16">
            <v>8</v>
          </cell>
          <cell r="H16" t="str">
            <v>－</v>
          </cell>
        </row>
        <row r="17">
          <cell r="B17" t="str">
            <v>紀承亨</v>
          </cell>
          <cell r="C17">
            <v>11</v>
          </cell>
          <cell r="D17">
            <v>3</v>
          </cell>
          <cell r="E17">
            <v>5</v>
          </cell>
          <cell r="F17">
            <v>8</v>
          </cell>
          <cell r="G17">
            <v>7</v>
          </cell>
          <cell r="H17" t="str">
            <v>－</v>
          </cell>
        </row>
        <row r="18">
          <cell r="B18" t="str">
            <v>莊雯涵</v>
          </cell>
          <cell r="C18">
            <v>10</v>
          </cell>
          <cell r="D18">
            <v>5</v>
          </cell>
          <cell r="E18">
            <v>5</v>
          </cell>
          <cell r="F18">
            <v>10</v>
          </cell>
          <cell r="G18">
            <v>8</v>
          </cell>
          <cell r="H18" t="str">
            <v>－</v>
          </cell>
        </row>
        <row r="19">
          <cell r="B19" t="str">
            <v>李翊宏</v>
          </cell>
          <cell r="C19">
            <v>10</v>
          </cell>
          <cell r="D19">
            <v>7</v>
          </cell>
          <cell r="E19">
            <v>7</v>
          </cell>
          <cell r="F19" t="str">
            <v>－</v>
          </cell>
          <cell r="G19">
            <v>7</v>
          </cell>
          <cell r="H19">
            <v>7</v>
          </cell>
        </row>
        <row r="20">
          <cell r="B20" t="str">
            <v>張晏裴</v>
          </cell>
          <cell r="C20">
            <v>11</v>
          </cell>
          <cell r="D20">
            <v>8</v>
          </cell>
          <cell r="E20" t="str">
            <v>－</v>
          </cell>
          <cell r="F20">
            <v>3</v>
          </cell>
          <cell r="G20" t="str">
            <v>－</v>
          </cell>
          <cell r="H20">
            <v>8</v>
          </cell>
        </row>
        <row r="21">
          <cell r="B21" t="str">
            <v>林宥妘</v>
          </cell>
          <cell r="C21">
            <v>11</v>
          </cell>
          <cell r="D21">
            <v>3</v>
          </cell>
          <cell r="E21" t="str">
            <v>－</v>
          </cell>
          <cell r="F21">
            <v>6</v>
          </cell>
          <cell r="G21" t="str">
            <v>－</v>
          </cell>
          <cell r="H21" t="str">
            <v>－</v>
          </cell>
        </row>
        <row r="22">
          <cell r="B22" t="str">
            <v>李妍萱</v>
          </cell>
          <cell r="C22">
            <v>4</v>
          </cell>
          <cell r="D22">
            <v>3</v>
          </cell>
          <cell r="E22" t="str">
            <v>－</v>
          </cell>
          <cell r="F22">
            <v>6</v>
          </cell>
          <cell r="G22" t="str">
            <v>－</v>
          </cell>
          <cell r="H22" t="str">
            <v>－</v>
          </cell>
        </row>
        <row r="23">
          <cell r="B23" t="str">
            <v>楊景泓</v>
          </cell>
          <cell r="C23">
            <v>10</v>
          </cell>
          <cell r="D23">
            <v>5</v>
          </cell>
          <cell r="E23">
            <v>6</v>
          </cell>
          <cell r="F23" t="str">
            <v>－</v>
          </cell>
          <cell r="G23">
            <v>9</v>
          </cell>
          <cell r="H23" t="str">
            <v>－</v>
          </cell>
        </row>
        <row r="24">
          <cell r="B24" t="str">
            <v>陳奕安</v>
          </cell>
          <cell r="C24">
            <v>11</v>
          </cell>
          <cell r="D24">
            <v>11</v>
          </cell>
          <cell r="E24">
            <v>7</v>
          </cell>
          <cell r="F24">
            <v>10</v>
          </cell>
          <cell r="G24" t="str">
            <v>－</v>
          </cell>
          <cell r="H24">
            <v>13</v>
          </cell>
        </row>
        <row r="25">
          <cell r="B25" t="str">
            <v>林祐漢</v>
          </cell>
          <cell r="C25">
            <v>12</v>
          </cell>
          <cell r="D25">
            <v>5</v>
          </cell>
          <cell r="E25">
            <v>5</v>
          </cell>
          <cell r="F25">
            <v>9</v>
          </cell>
          <cell r="G25">
            <v>7</v>
          </cell>
          <cell r="H25">
            <v>13</v>
          </cell>
        </row>
        <row r="26">
          <cell r="B26" t="str">
            <v>頂標</v>
          </cell>
          <cell r="C26">
            <v>13</v>
          </cell>
          <cell r="D26">
            <v>13</v>
          </cell>
          <cell r="E26">
            <v>11</v>
          </cell>
          <cell r="F26">
            <v>11</v>
          </cell>
          <cell r="G26">
            <v>12</v>
          </cell>
          <cell r="H26">
            <v>13</v>
          </cell>
        </row>
        <row r="27">
          <cell r="B27" t="str">
            <v>前標</v>
          </cell>
          <cell r="C27">
            <v>13</v>
          </cell>
          <cell r="D27">
            <v>11</v>
          </cell>
          <cell r="E27">
            <v>9</v>
          </cell>
          <cell r="F27">
            <v>9</v>
          </cell>
          <cell r="G27">
            <v>10</v>
          </cell>
          <cell r="H27">
            <v>11</v>
          </cell>
        </row>
        <row r="28">
          <cell r="B28" t="str">
            <v>均標</v>
          </cell>
          <cell r="C28">
            <v>11</v>
          </cell>
          <cell r="D28">
            <v>8</v>
          </cell>
          <cell r="E28">
            <v>7</v>
          </cell>
          <cell r="F28">
            <v>6</v>
          </cell>
          <cell r="G28">
            <v>8</v>
          </cell>
          <cell r="H28">
            <v>10</v>
          </cell>
        </row>
        <row r="29">
          <cell r="B29" t="str">
            <v>後標</v>
          </cell>
          <cell r="C29">
            <v>10</v>
          </cell>
          <cell r="D29">
            <v>5</v>
          </cell>
          <cell r="E29">
            <v>5</v>
          </cell>
          <cell r="F29">
            <v>4</v>
          </cell>
          <cell r="G29">
            <v>6</v>
          </cell>
          <cell r="H29">
            <v>8</v>
          </cell>
        </row>
        <row r="30">
          <cell r="B30" t="str">
            <v>底標</v>
          </cell>
          <cell r="C30">
            <v>8</v>
          </cell>
          <cell r="D30">
            <v>4</v>
          </cell>
          <cell r="E30">
            <v>3</v>
          </cell>
          <cell r="F30">
            <v>3</v>
          </cell>
          <cell r="G30">
            <v>4</v>
          </cell>
          <cell r="H30">
            <v>6</v>
          </cell>
        </row>
      </sheetData>
      <sheetData sheetId="2">
        <row r="1">
          <cell r="B1" t="str">
            <v>範圍</v>
          </cell>
        </row>
        <row r="2">
          <cell r="B2" t="str">
            <v>科目</v>
          </cell>
          <cell r="C2" t="str">
            <v>國文</v>
          </cell>
          <cell r="D2" t="str">
            <v>英文</v>
          </cell>
          <cell r="E2" t="str">
            <v>數A</v>
          </cell>
          <cell r="F2" t="str">
            <v>數B</v>
          </cell>
          <cell r="G2" t="str">
            <v>自然</v>
          </cell>
          <cell r="H2" t="str">
            <v>社會</v>
          </cell>
        </row>
        <row r="3">
          <cell r="B3" t="str">
            <v>楊博凱</v>
          </cell>
          <cell r="C3">
            <v>11</v>
          </cell>
          <cell r="D3">
            <v>7</v>
          </cell>
          <cell r="E3">
            <v>6</v>
          </cell>
          <cell r="F3">
            <v>9</v>
          </cell>
          <cell r="H3">
            <v>14</v>
          </cell>
        </row>
        <row r="4">
          <cell r="B4" t="str">
            <v>郭力綸</v>
          </cell>
          <cell r="C4">
            <v>11</v>
          </cell>
          <cell r="D4">
            <v>11</v>
          </cell>
          <cell r="E4">
            <v>13</v>
          </cell>
          <cell r="G4">
            <v>14</v>
          </cell>
        </row>
        <row r="5">
          <cell r="B5" t="str">
            <v>王宥惟</v>
          </cell>
          <cell r="C5">
            <v>12</v>
          </cell>
          <cell r="D5">
            <v>8</v>
          </cell>
          <cell r="E5">
            <v>10</v>
          </cell>
          <cell r="F5">
            <v>11</v>
          </cell>
          <cell r="H5">
            <v>12</v>
          </cell>
        </row>
        <row r="6">
          <cell r="B6" t="str">
            <v>陳柔臻</v>
          </cell>
          <cell r="C6">
            <v>12</v>
          </cell>
          <cell r="D6">
            <v>9</v>
          </cell>
          <cell r="E6">
            <v>6</v>
          </cell>
          <cell r="F6">
            <v>7</v>
          </cell>
          <cell r="G6">
            <v>10</v>
          </cell>
          <cell r="H6">
            <v>11</v>
          </cell>
        </row>
        <row r="7">
          <cell r="B7" t="str">
            <v>周睿紘</v>
          </cell>
          <cell r="C7">
            <v>11</v>
          </cell>
          <cell r="D7">
            <v>7</v>
          </cell>
          <cell r="E7">
            <v>11</v>
          </cell>
          <cell r="F7">
            <v>9</v>
          </cell>
          <cell r="G7">
            <v>12</v>
          </cell>
        </row>
        <row r="8">
          <cell r="B8" t="str">
            <v>林承翰</v>
          </cell>
          <cell r="C8">
            <v>13</v>
          </cell>
          <cell r="D8">
            <v>14</v>
          </cell>
          <cell r="E8">
            <v>6</v>
          </cell>
          <cell r="F8">
            <v>10</v>
          </cell>
          <cell r="G8">
            <v>9</v>
          </cell>
          <cell r="H8">
            <v>11</v>
          </cell>
        </row>
        <row r="9">
          <cell r="B9" t="str">
            <v>鄭芷欣</v>
          </cell>
          <cell r="C9">
            <v>13</v>
          </cell>
          <cell r="D9">
            <v>8</v>
          </cell>
          <cell r="E9">
            <v>9</v>
          </cell>
          <cell r="F9">
            <v>11</v>
          </cell>
          <cell r="G9">
            <v>11</v>
          </cell>
          <cell r="H9">
            <v>10</v>
          </cell>
        </row>
        <row r="10">
          <cell r="B10" t="str">
            <v>朱迎甄</v>
          </cell>
          <cell r="C10">
            <v>11</v>
          </cell>
          <cell r="D10">
            <v>10</v>
          </cell>
          <cell r="E10">
            <v>6</v>
          </cell>
          <cell r="F10">
            <v>6</v>
          </cell>
          <cell r="H10">
            <v>13</v>
          </cell>
        </row>
        <row r="11">
          <cell r="B11" t="str">
            <v>龔韋任</v>
          </cell>
          <cell r="C11">
            <v>12</v>
          </cell>
          <cell r="D11">
            <v>12</v>
          </cell>
          <cell r="E11">
            <v>13</v>
          </cell>
          <cell r="F11">
            <v>15</v>
          </cell>
          <cell r="G11">
            <v>15</v>
          </cell>
          <cell r="H11">
            <v>10</v>
          </cell>
        </row>
        <row r="12">
          <cell r="B12" t="str">
            <v>陳香妤</v>
          </cell>
          <cell r="C12">
            <v>12</v>
          </cell>
          <cell r="D12">
            <v>13</v>
          </cell>
          <cell r="E12">
            <v>6</v>
          </cell>
          <cell r="F12">
            <v>8</v>
          </cell>
          <cell r="G12">
            <v>7</v>
          </cell>
          <cell r="H12">
            <v>12</v>
          </cell>
        </row>
        <row r="13">
          <cell r="B13" t="str">
            <v>王勝暉</v>
          </cell>
          <cell r="C13">
            <v>10</v>
          </cell>
          <cell r="D13">
            <v>9</v>
          </cell>
          <cell r="E13">
            <v>13</v>
          </cell>
          <cell r="F13">
            <v>12</v>
          </cell>
          <cell r="G13">
            <v>12</v>
          </cell>
          <cell r="H13">
            <v>8</v>
          </cell>
        </row>
        <row r="14">
          <cell r="B14" t="str">
            <v>林恩頡</v>
          </cell>
          <cell r="C14">
            <v>10</v>
          </cell>
          <cell r="D14">
            <v>10</v>
          </cell>
          <cell r="E14">
            <v>12</v>
          </cell>
          <cell r="F14">
            <v>13</v>
          </cell>
          <cell r="G14">
            <v>12</v>
          </cell>
          <cell r="H14">
            <v>10</v>
          </cell>
        </row>
        <row r="15">
          <cell r="B15" t="str">
            <v>陳昱安</v>
          </cell>
          <cell r="C15">
            <v>12</v>
          </cell>
          <cell r="D15">
            <v>10</v>
          </cell>
          <cell r="E15">
            <v>14</v>
          </cell>
          <cell r="F15">
            <v>13</v>
          </cell>
          <cell r="G15">
            <v>13</v>
          </cell>
          <cell r="H15">
            <v>8</v>
          </cell>
        </row>
        <row r="16">
          <cell r="B16" t="str">
            <v>陳渼錞</v>
          </cell>
          <cell r="C16">
            <v>12</v>
          </cell>
          <cell r="D16">
            <v>8</v>
          </cell>
          <cell r="E16">
            <v>6</v>
          </cell>
          <cell r="F16">
            <v>8</v>
          </cell>
          <cell r="G16">
            <v>9</v>
          </cell>
          <cell r="H16">
            <v>12</v>
          </cell>
        </row>
        <row r="17">
          <cell r="B17" t="str">
            <v>紀承亨</v>
          </cell>
          <cell r="C17">
            <v>8</v>
          </cell>
          <cell r="D17">
            <v>3</v>
          </cell>
          <cell r="E17">
            <v>6</v>
          </cell>
          <cell r="F17">
            <v>3</v>
          </cell>
          <cell r="G17">
            <v>6</v>
          </cell>
          <cell r="H17">
            <v>11</v>
          </cell>
        </row>
        <row r="18">
          <cell r="B18" t="str">
            <v>莊雯涵</v>
          </cell>
          <cell r="C18">
            <v>12</v>
          </cell>
          <cell r="D18">
            <v>6</v>
          </cell>
          <cell r="E18">
            <v>6</v>
          </cell>
          <cell r="F18">
            <v>8</v>
          </cell>
          <cell r="G18">
            <v>8</v>
          </cell>
          <cell r="H18">
            <v>10</v>
          </cell>
        </row>
        <row r="19">
          <cell r="B19" t="str">
            <v>李翊宏</v>
          </cell>
          <cell r="C19">
            <v>7</v>
          </cell>
          <cell r="D19">
            <v>5</v>
          </cell>
          <cell r="E19">
            <v>7</v>
          </cell>
          <cell r="F19">
            <v>5</v>
          </cell>
          <cell r="G19">
            <v>7</v>
          </cell>
          <cell r="H19">
            <v>6</v>
          </cell>
        </row>
        <row r="20">
          <cell r="B20" t="str">
            <v>張晏裴</v>
          </cell>
        </row>
        <row r="21">
          <cell r="B21" t="str">
            <v>林宥妘</v>
          </cell>
          <cell r="C21">
            <v>8</v>
          </cell>
          <cell r="D21">
            <v>3</v>
          </cell>
          <cell r="F21">
            <v>5</v>
          </cell>
          <cell r="G21">
            <v>4</v>
          </cell>
          <cell r="H21">
            <v>10</v>
          </cell>
        </row>
        <row r="22">
          <cell r="B22" t="str">
            <v>李妍萱</v>
          </cell>
          <cell r="C22">
            <v>10</v>
          </cell>
          <cell r="D22">
            <v>4</v>
          </cell>
          <cell r="F22">
            <v>6</v>
          </cell>
          <cell r="G22">
            <v>6</v>
          </cell>
          <cell r="H22">
            <v>9</v>
          </cell>
        </row>
        <row r="23">
          <cell r="B23" t="str">
            <v>楊景泓</v>
          </cell>
          <cell r="C23">
            <v>9</v>
          </cell>
          <cell r="D23">
            <v>5</v>
          </cell>
          <cell r="E23">
            <v>5</v>
          </cell>
          <cell r="F23">
            <v>5</v>
          </cell>
          <cell r="G23">
            <v>8</v>
          </cell>
          <cell r="H23">
            <v>10</v>
          </cell>
        </row>
        <row r="24">
          <cell r="B24" t="str">
            <v>陳奕安</v>
          </cell>
          <cell r="C24">
            <v>11</v>
          </cell>
          <cell r="D24">
            <v>9</v>
          </cell>
          <cell r="E24">
            <v>6</v>
          </cell>
          <cell r="F24">
            <v>7</v>
          </cell>
          <cell r="H24">
            <v>12</v>
          </cell>
        </row>
        <row r="25">
          <cell r="B25" t="str">
            <v>林祐漢</v>
          </cell>
          <cell r="C25">
            <v>10</v>
          </cell>
          <cell r="D25">
            <v>4</v>
          </cell>
          <cell r="E25">
            <v>7</v>
          </cell>
          <cell r="F25">
            <v>8</v>
          </cell>
          <cell r="G25">
            <v>7</v>
          </cell>
          <cell r="H25">
            <v>15</v>
          </cell>
        </row>
        <row r="26">
          <cell r="B26" t="str">
            <v>頂標</v>
          </cell>
          <cell r="C26">
            <v>13</v>
          </cell>
          <cell r="D26">
            <v>13</v>
          </cell>
          <cell r="E26">
            <v>12</v>
          </cell>
          <cell r="F26">
            <v>12</v>
          </cell>
          <cell r="G26">
            <v>13</v>
          </cell>
          <cell r="H26">
            <v>13</v>
          </cell>
        </row>
        <row r="27">
          <cell r="B27" t="str">
            <v>前標</v>
          </cell>
          <cell r="C27">
            <v>12</v>
          </cell>
          <cell r="D27">
            <v>11</v>
          </cell>
          <cell r="E27">
            <v>10</v>
          </cell>
          <cell r="F27">
            <v>9</v>
          </cell>
          <cell r="G27">
            <v>12</v>
          </cell>
          <cell r="H27">
            <v>12</v>
          </cell>
        </row>
        <row r="28">
          <cell r="B28" t="str">
            <v>均標</v>
          </cell>
          <cell r="C28">
            <v>11</v>
          </cell>
          <cell r="D28">
            <v>8</v>
          </cell>
          <cell r="E28">
            <v>7</v>
          </cell>
          <cell r="F28">
            <v>6</v>
          </cell>
          <cell r="G28">
            <v>10</v>
          </cell>
          <cell r="H28">
            <v>9</v>
          </cell>
        </row>
        <row r="29">
          <cell r="B29" t="str">
            <v>後標</v>
          </cell>
          <cell r="C29">
            <v>9</v>
          </cell>
          <cell r="D29">
            <v>5</v>
          </cell>
          <cell r="E29">
            <v>5</v>
          </cell>
          <cell r="F29">
            <v>4</v>
          </cell>
          <cell r="G29">
            <v>8</v>
          </cell>
          <cell r="H29">
            <v>6</v>
          </cell>
        </row>
        <row r="30">
          <cell r="B30" t="str">
            <v>底標</v>
          </cell>
          <cell r="C30">
            <v>8</v>
          </cell>
          <cell r="D30">
            <v>3</v>
          </cell>
          <cell r="E30">
            <v>3</v>
          </cell>
          <cell r="F30">
            <v>3</v>
          </cell>
          <cell r="G30">
            <v>6</v>
          </cell>
          <cell r="H30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第一次落點分析 "/>
      <sheetName val="第二次落點分析"/>
      <sheetName val="第三次落點分析"/>
      <sheetName val="114學測"/>
    </sheetNames>
    <sheetDataSet>
      <sheetData sheetId="0">
        <row r="1">
          <cell r="B1" t="str">
            <v>範圍</v>
          </cell>
          <cell r="C1" t="str">
            <v>第一次學測模擬考</v>
          </cell>
        </row>
        <row r="2">
          <cell r="B2" t="str">
            <v>科目</v>
          </cell>
          <cell r="C2" t="str">
            <v>國文</v>
          </cell>
          <cell r="D2" t="str">
            <v>英文</v>
          </cell>
          <cell r="E2" t="str">
            <v>數學</v>
          </cell>
          <cell r="F2" t="str">
            <v>自然</v>
          </cell>
          <cell r="G2" t="str">
            <v>社會</v>
          </cell>
        </row>
        <row r="3">
          <cell r="B3" t="str">
            <v>鄭乃瑗</v>
          </cell>
          <cell r="C3">
            <v>13</v>
          </cell>
          <cell r="D3">
            <v>5</v>
          </cell>
          <cell r="E3">
            <v>5</v>
          </cell>
          <cell r="F3" t="str">
            <v>－</v>
          </cell>
          <cell r="G3">
            <v>14</v>
          </cell>
        </row>
        <row r="4">
          <cell r="B4" t="str">
            <v>周士凱</v>
          </cell>
          <cell r="C4">
            <v>9</v>
          </cell>
          <cell r="D4">
            <v>9</v>
          </cell>
          <cell r="E4">
            <v>13</v>
          </cell>
          <cell r="F4">
            <v>9</v>
          </cell>
        </row>
        <row r="5">
          <cell r="B5" t="str">
            <v>蔡宗霖</v>
          </cell>
          <cell r="C5">
            <v>11</v>
          </cell>
          <cell r="D5">
            <v>9</v>
          </cell>
          <cell r="E5">
            <v>11</v>
          </cell>
          <cell r="F5">
            <v>7</v>
          </cell>
          <cell r="G5">
            <v>9</v>
          </cell>
        </row>
        <row r="6">
          <cell r="B6" t="str">
            <v>何潔瑜</v>
          </cell>
          <cell r="C6">
            <v>11</v>
          </cell>
          <cell r="D6">
            <v>9</v>
          </cell>
          <cell r="E6">
            <v>10</v>
          </cell>
          <cell r="F6">
            <v>10</v>
          </cell>
          <cell r="G6">
            <v>9</v>
          </cell>
        </row>
        <row r="7">
          <cell r="B7" t="str">
            <v>沈佑勳</v>
          </cell>
          <cell r="C7">
            <v>12</v>
          </cell>
          <cell r="D7">
            <v>12</v>
          </cell>
          <cell r="E7">
            <v>11</v>
          </cell>
          <cell r="F7">
            <v>10</v>
          </cell>
          <cell r="G7" t="str">
            <v>－</v>
          </cell>
        </row>
        <row r="8">
          <cell r="B8" t="str">
            <v>紀慶宥</v>
          </cell>
          <cell r="C8">
            <v>9</v>
          </cell>
          <cell r="D8">
            <v>10</v>
          </cell>
          <cell r="E8">
            <v>10</v>
          </cell>
          <cell r="F8">
            <v>10</v>
          </cell>
        </row>
        <row r="9">
          <cell r="B9" t="str">
            <v>孟容瑄</v>
          </cell>
          <cell r="C9">
            <v>15</v>
          </cell>
          <cell r="D9">
            <v>10</v>
          </cell>
          <cell r="E9">
            <v>10</v>
          </cell>
          <cell r="F9">
            <v>12</v>
          </cell>
          <cell r="G9">
            <v>13</v>
          </cell>
        </row>
        <row r="10">
          <cell r="B10" t="str">
            <v>顧家綺</v>
          </cell>
          <cell r="C10">
            <v>10</v>
          </cell>
          <cell r="D10">
            <v>4</v>
          </cell>
          <cell r="E10">
            <v>9</v>
          </cell>
          <cell r="F10">
            <v>9</v>
          </cell>
          <cell r="G10">
            <v>10</v>
          </cell>
        </row>
        <row r="11">
          <cell r="B11" t="str">
            <v>張秦瑜</v>
          </cell>
          <cell r="C11">
            <v>9</v>
          </cell>
          <cell r="D11">
            <v>6</v>
          </cell>
          <cell r="E11">
            <v>8</v>
          </cell>
          <cell r="F11">
            <v>8</v>
          </cell>
        </row>
        <row r="12">
          <cell r="B12" t="str">
            <v>楊竣名</v>
          </cell>
          <cell r="C12">
            <v>11</v>
          </cell>
          <cell r="D12">
            <v>8</v>
          </cell>
          <cell r="E12">
            <v>8</v>
          </cell>
          <cell r="F12">
            <v>6</v>
          </cell>
        </row>
        <row r="13">
          <cell r="B13" t="str">
            <v>陳宥楠</v>
          </cell>
          <cell r="C13">
            <v>11</v>
          </cell>
          <cell r="D13">
            <v>7</v>
          </cell>
          <cell r="E13">
            <v>10</v>
          </cell>
          <cell r="F13">
            <v>8</v>
          </cell>
          <cell r="G13">
            <v>9</v>
          </cell>
        </row>
        <row r="14">
          <cell r="B14" t="str">
            <v>何宜頡</v>
          </cell>
          <cell r="C14">
            <v>13</v>
          </cell>
          <cell r="D14">
            <v>9</v>
          </cell>
          <cell r="E14">
            <v>7</v>
          </cell>
          <cell r="G14">
            <v>12</v>
          </cell>
        </row>
        <row r="15">
          <cell r="B15" t="str">
            <v>陳思妤</v>
          </cell>
          <cell r="C15">
            <v>13</v>
          </cell>
          <cell r="D15">
            <v>14</v>
          </cell>
          <cell r="E15">
            <v>14</v>
          </cell>
          <cell r="F15">
            <v>8</v>
          </cell>
          <cell r="G15" t="str">
            <v>－</v>
          </cell>
        </row>
        <row r="16">
          <cell r="B16" t="str">
            <v>何旻臻</v>
          </cell>
          <cell r="C16">
            <v>13</v>
          </cell>
          <cell r="D16">
            <v>8</v>
          </cell>
          <cell r="E16">
            <v>10</v>
          </cell>
          <cell r="F16">
            <v>11</v>
          </cell>
          <cell r="G16" t="str">
            <v>－</v>
          </cell>
        </row>
        <row r="17">
          <cell r="B17" t="str">
            <v>侯育臻</v>
          </cell>
          <cell r="C17">
            <v>8</v>
          </cell>
          <cell r="D17">
            <v>10</v>
          </cell>
          <cell r="E17">
            <v>5</v>
          </cell>
          <cell r="F17">
            <v>7</v>
          </cell>
          <cell r="G17">
            <v>9</v>
          </cell>
        </row>
        <row r="18">
          <cell r="B18" t="str">
            <v>黃毓庭</v>
          </cell>
          <cell r="C18">
            <v>5</v>
          </cell>
          <cell r="D18">
            <v>12</v>
          </cell>
          <cell r="E18">
            <v>9</v>
          </cell>
          <cell r="F18">
            <v>9</v>
          </cell>
          <cell r="G18">
            <v>9</v>
          </cell>
        </row>
        <row r="19">
          <cell r="B19" t="str">
            <v>頂標</v>
          </cell>
          <cell r="C19">
            <v>11</v>
          </cell>
          <cell r="D19">
            <v>13</v>
          </cell>
          <cell r="E19">
            <v>13</v>
          </cell>
          <cell r="F19">
            <v>11</v>
          </cell>
          <cell r="G19">
            <v>12</v>
          </cell>
        </row>
        <row r="20">
          <cell r="B20" t="str">
            <v>前標</v>
          </cell>
          <cell r="C20">
            <v>9</v>
          </cell>
          <cell r="D20">
            <v>12</v>
          </cell>
          <cell r="E20">
            <v>11</v>
          </cell>
          <cell r="F20">
            <v>9</v>
          </cell>
          <cell r="G20">
            <v>11</v>
          </cell>
        </row>
        <row r="21">
          <cell r="B21" t="str">
            <v>均標</v>
          </cell>
          <cell r="C21">
            <v>6</v>
          </cell>
          <cell r="D21">
            <v>11</v>
          </cell>
          <cell r="E21">
            <v>8</v>
          </cell>
          <cell r="F21">
            <v>7</v>
          </cell>
          <cell r="G21">
            <v>9</v>
          </cell>
        </row>
        <row r="22">
          <cell r="B22" t="str">
            <v>後標</v>
          </cell>
          <cell r="C22">
            <v>4</v>
          </cell>
          <cell r="D22">
            <v>9</v>
          </cell>
          <cell r="E22">
            <v>5</v>
          </cell>
          <cell r="F22">
            <v>5</v>
          </cell>
          <cell r="G22">
            <v>8</v>
          </cell>
        </row>
        <row r="23">
          <cell r="B23" t="str">
            <v>底標</v>
          </cell>
          <cell r="C23">
            <v>3</v>
          </cell>
          <cell r="D23">
            <v>8</v>
          </cell>
          <cell r="E23">
            <v>4</v>
          </cell>
          <cell r="F23">
            <v>4</v>
          </cell>
          <cell r="G23">
            <v>7</v>
          </cell>
        </row>
      </sheetData>
      <sheetData sheetId="1">
        <row r="1">
          <cell r="B1" t="str">
            <v>範圍</v>
          </cell>
          <cell r="C1" t="str">
            <v>第二次學測模擬考</v>
          </cell>
        </row>
        <row r="2">
          <cell r="B2" t="str">
            <v>科目</v>
          </cell>
          <cell r="C2" t="str">
            <v>國文</v>
          </cell>
          <cell r="D2" t="str">
            <v>英文</v>
          </cell>
          <cell r="E2" t="str">
            <v>數A</v>
          </cell>
          <cell r="F2" t="str">
            <v>數B</v>
          </cell>
          <cell r="G2" t="str">
            <v>自然</v>
          </cell>
          <cell r="H2" t="str">
            <v>社會</v>
          </cell>
        </row>
        <row r="3">
          <cell r="B3" t="str">
            <v>鄭乃瑗</v>
          </cell>
          <cell r="C3">
            <v>12</v>
          </cell>
          <cell r="D3">
            <v>3</v>
          </cell>
          <cell r="E3">
            <v>2</v>
          </cell>
          <cell r="F3">
            <v>8</v>
          </cell>
          <cell r="G3" t="str">
            <v>－</v>
          </cell>
          <cell r="H3">
            <v>11</v>
          </cell>
        </row>
        <row r="4">
          <cell r="B4" t="str">
            <v>周士凱</v>
          </cell>
          <cell r="C4">
            <v>10</v>
          </cell>
          <cell r="D4">
            <v>9</v>
          </cell>
          <cell r="E4">
            <v>9</v>
          </cell>
          <cell r="F4">
            <v>8</v>
          </cell>
          <cell r="G4">
            <v>8</v>
          </cell>
          <cell r="H4">
            <v>8</v>
          </cell>
        </row>
        <row r="5">
          <cell r="B5" t="str">
            <v>蔡宗霖</v>
          </cell>
          <cell r="C5">
            <v>11</v>
          </cell>
          <cell r="D5">
            <v>9</v>
          </cell>
          <cell r="E5">
            <v>10</v>
          </cell>
          <cell r="F5">
            <v>9</v>
          </cell>
          <cell r="G5">
            <v>9</v>
          </cell>
          <cell r="H5">
            <v>8</v>
          </cell>
        </row>
        <row r="6">
          <cell r="B6" t="str">
            <v>何潔瑜</v>
          </cell>
          <cell r="C6">
            <v>12</v>
          </cell>
          <cell r="D6">
            <v>8</v>
          </cell>
          <cell r="E6">
            <v>9</v>
          </cell>
          <cell r="F6">
            <v>4</v>
          </cell>
          <cell r="G6">
            <v>7</v>
          </cell>
        </row>
        <row r="7">
          <cell r="B7" t="str">
            <v>沈佑勳</v>
          </cell>
          <cell r="C7">
            <v>12</v>
          </cell>
          <cell r="D7">
            <v>14</v>
          </cell>
          <cell r="E7">
            <v>10</v>
          </cell>
          <cell r="F7">
            <v>11</v>
          </cell>
          <cell r="G7">
            <v>12</v>
          </cell>
          <cell r="H7" t="str">
            <v>－</v>
          </cell>
        </row>
        <row r="8">
          <cell r="B8" t="str">
            <v>紀慶宥</v>
          </cell>
          <cell r="C8">
            <v>9</v>
          </cell>
          <cell r="D8">
            <v>9</v>
          </cell>
          <cell r="E8">
            <v>8</v>
          </cell>
          <cell r="G8">
            <v>11</v>
          </cell>
        </row>
        <row r="9">
          <cell r="B9" t="str">
            <v>孟容瑄</v>
          </cell>
          <cell r="C9">
            <v>12</v>
          </cell>
          <cell r="D9">
            <v>11</v>
          </cell>
          <cell r="E9">
            <v>10</v>
          </cell>
          <cell r="F9">
            <v>7</v>
          </cell>
          <cell r="G9">
            <v>11</v>
          </cell>
          <cell r="H9">
            <v>13</v>
          </cell>
        </row>
        <row r="10">
          <cell r="B10" t="str">
            <v>顧家綺</v>
          </cell>
          <cell r="C10">
            <v>10</v>
          </cell>
          <cell r="D10">
            <v>5</v>
          </cell>
          <cell r="E10">
            <v>6</v>
          </cell>
          <cell r="G10">
            <v>6</v>
          </cell>
          <cell r="H10">
            <v>8</v>
          </cell>
        </row>
        <row r="11">
          <cell r="B11" t="str">
            <v>張秦瑜</v>
          </cell>
          <cell r="C11">
            <v>8</v>
          </cell>
          <cell r="D11">
            <v>7</v>
          </cell>
          <cell r="E11">
            <v>10</v>
          </cell>
          <cell r="F11">
            <v>10</v>
          </cell>
          <cell r="G11">
            <v>10</v>
          </cell>
        </row>
        <row r="12">
          <cell r="B12" t="str">
            <v>楊竣名</v>
          </cell>
          <cell r="C12">
            <v>12</v>
          </cell>
          <cell r="D12">
            <v>7</v>
          </cell>
          <cell r="E12">
            <v>9</v>
          </cell>
          <cell r="G12">
            <v>9</v>
          </cell>
        </row>
        <row r="13">
          <cell r="B13" t="str">
            <v>陳宥楠</v>
          </cell>
          <cell r="C13">
            <v>10</v>
          </cell>
          <cell r="D13">
            <v>5</v>
          </cell>
          <cell r="E13">
            <v>10</v>
          </cell>
          <cell r="F13">
            <v>7</v>
          </cell>
          <cell r="G13">
            <v>10</v>
          </cell>
        </row>
        <row r="14">
          <cell r="B14" t="str">
            <v>何宜頡</v>
          </cell>
          <cell r="C14">
            <v>11</v>
          </cell>
          <cell r="D14">
            <v>11</v>
          </cell>
          <cell r="E14">
            <v>4</v>
          </cell>
          <cell r="F14">
            <v>7</v>
          </cell>
          <cell r="H14">
            <v>12</v>
          </cell>
        </row>
        <row r="15">
          <cell r="B15" t="str">
            <v>陳思妤</v>
          </cell>
          <cell r="C15">
            <v>11</v>
          </cell>
          <cell r="D15">
            <v>14</v>
          </cell>
          <cell r="E15">
            <v>10</v>
          </cell>
          <cell r="F15">
            <v>9</v>
          </cell>
          <cell r="G15">
            <v>8</v>
          </cell>
          <cell r="H15" t="str">
            <v>－</v>
          </cell>
        </row>
        <row r="16">
          <cell r="B16" t="str">
            <v>何旻臻</v>
          </cell>
          <cell r="C16">
            <v>9</v>
          </cell>
          <cell r="D16">
            <v>8</v>
          </cell>
          <cell r="E16">
            <v>5</v>
          </cell>
          <cell r="F16">
            <v>7</v>
          </cell>
          <cell r="G16">
            <v>10</v>
          </cell>
          <cell r="H16">
            <v>13</v>
          </cell>
        </row>
        <row r="17">
          <cell r="B17" t="str">
            <v>侯育臻</v>
          </cell>
          <cell r="C17">
            <v>8</v>
          </cell>
          <cell r="D17">
            <v>8</v>
          </cell>
          <cell r="E17">
            <v>4</v>
          </cell>
          <cell r="F17">
            <v>4</v>
          </cell>
          <cell r="G17">
            <v>6</v>
          </cell>
          <cell r="H17">
            <v>8</v>
          </cell>
        </row>
        <row r="18">
          <cell r="B18" t="str">
            <v>黃毓庭</v>
          </cell>
          <cell r="C18">
            <v>12</v>
          </cell>
          <cell r="D18">
            <v>8</v>
          </cell>
          <cell r="E18">
            <v>4</v>
          </cell>
          <cell r="F18">
            <v>5</v>
          </cell>
          <cell r="G18">
            <v>7</v>
          </cell>
          <cell r="H18">
            <v>11</v>
          </cell>
        </row>
        <row r="19">
          <cell r="B19" t="str">
            <v>頂標</v>
          </cell>
          <cell r="C19">
            <v>13</v>
          </cell>
          <cell r="D19">
            <v>13</v>
          </cell>
          <cell r="E19">
            <v>11</v>
          </cell>
          <cell r="F19">
            <v>9</v>
          </cell>
          <cell r="G19">
            <v>11</v>
          </cell>
          <cell r="H19">
            <v>12</v>
          </cell>
        </row>
        <row r="20">
          <cell r="B20" t="str">
            <v>前標</v>
          </cell>
          <cell r="C20">
            <v>12</v>
          </cell>
          <cell r="D20">
            <v>11</v>
          </cell>
          <cell r="E20">
            <v>9</v>
          </cell>
          <cell r="F20">
            <v>7</v>
          </cell>
          <cell r="G20">
            <v>10</v>
          </cell>
          <cell r="H20">
            <v>11</v>
          </cell>
        </row>
        <row r="21">
          <cell r="B21" t="str">
            <v>均標</v>
          </cell>
          <cell r="C21">
            <v>11</v>
          </cell>
          <cell r="D21">
            <v>7</v>
          </cell>
          <cell r="E21">
            <v>6</v>
          </cell>
          <cell r="F21">
            <v>5</v>
          </cell>
          <cell r="G21">
            <v>7</v>
          </cell>
          <cell r="H21">
            <v>9</v>
          </cell>
        </row>
        <row r="22">
          <cell r="B22" t="str">
            <v>後標</v>
          </cell>
          <cell r="C22">
            <v>10</v>
          </cell>
          <cell r="D22">
            <v>5</v>
          </cell>
          <cell r="E22">
            <v>4</v>
          </cell>
          <cell r="F22">
            <v>4</v>
          </cell>
          <cell r="G22">
            <v>6</v>
          </cell>
          <cell r="H22">
            <v>8</v>
          </cell>
        </row>
        <row r="23">
          <cell r="B23" t="str">
            <v>底標</v>
          </cell>
          <cell r="C23">
            <v>8</v>
          </cell>
          <cell r="D23">
            <v>4</v>
          </cell>
          <cell r="E23">
            <v>3</v>
          </cell>
          <cell r="F23">
            <v>3</v>
          </cell>
          <cell r="G23">
            <v>3</v>
          </cell>
          <cell r="H23">
            <v>6</v>
          </cell>
        </row>
      </sheetData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第一次落點分析 "/>
      <sheetName val="第二次落點分析"/>
      <sheetName val="115學測"/>
    </sheetNames>
    <sheetDataSet>
      <sheetData sheetId="0">
        <row r="1">
          <cell r="B1" t="str">
            <v>範圍</v>
          </cell>
          <cell r="C1" t="str">
            <v>第一次學測模擬考</v>
          </cell>
        </row>
        <row r="2">
          <cell r="B2" t="str">
            <v>學生</v>
          </cell>
          <cell r="C2" t="str">
            <v>國文</v>
          </cell>
          <cell r="D2" t="str">
            <v>英文</v>
          </cell>
          <cell r="E2" t="str">
            <v>數學</v>
          </cell>
          <cell r="F2" t="str">
            <v>自然</v>
          </cell>
          <cell r="G2" t="str">
            <v>社會</v>
          </cell>
        </row>
        <row r="3">
          <cell r="B3" t="str">
            <v>陳宗佑</v>
          </cell>
          <cell r="C3">
            <v>9</v>
          </cell>
          <cell r="D3">
            <v>8</v>
          </cell>
          <cell r="E3">
            <v>2</v>
          </cell>
          <cell r="F3">
            <v>6</v>
          </cell>
          <cell r="G3">
            <v>7</v>
          </cell>
        </row>
        <row r="4">
          <cell r="B4" t="str">
            <v>郭星妤</v>
          </cell>
          <cell r="C4">
            <v>9</v>
          </cell>
          <cell r="D4">
            <v>3</v>
          </cell>
          <cell r="E4">
            <v>8</v>
          </cell>
          <cell r="F4">
            <v>7</v>
          </cell>
        </row>
        <row r="5">
          <cell r="B5" t="str">
            <v>施宥辰</v>
          </cell>
          <cell r="C5">
            <v>9</v>
          </cell>
          <cell r="D5">
            <v>12</v>
          </cell>
          <cell r="E5">
            <v>11</v>
          </cell>
          <cell r="F5">
            <v>12</v>
          </cell>
        </row>
        <row r="6">
          <cell r="B6" t="str">
            <v>周筱瑜</v>
          </cell>
          <cell r="C6">
            <v>12</v>
          </cell>
          <cell r="D6">
            <v>13</v>
          </cell>
          <cell r="E6">
            <v>9</v>
          </cell>
          <cell r="F6">
            <v>12</v>
          </cell>
        </row>
        <row r="7">
          <cell r="B7" t="str">
            <v>蔡宇恩</v>
          </cell>
          <cell r="C7">
            <v>11</v>
          </cell>
          <cell r="D7">
            <v>9</v>
          </cell>
          <cell r="E7">
            <v>14</v>
          </cell>
          <cell r="F7">
            <v>12</v>
          </cell>
          <cell r="G7">
            <v>10</v>
          </cell>
        </row>
        <row r="8">
          <cell r="B8" t="str">
            <v>傅聖皓</v>
          </cell>
          <cell r="C8">
            <v>10</v>
          </cell>
          <cell r="D8">
            <v>8</v>
          </cell>
          <cell r="E8">
            <v>6</v>
          </cell>
          <cell r="F8">
            <v>7</v>
          </cell>
          <cell r="G8">
            <v>7</v>
          </cell>
        </row>
        <row r="9">
          <cell r="B9" t="str">
            <v>李孟樺</v>
          </cell>
          <cell r="C9">
            <v>14</v>
          </cell>
          <cell r="D9">
            <v>13</v>
          </cell>
          <cell r="E9">
            <v>10</v>
          </cell>
          <cell r="F9">
            <v>12</v>
          </cell>
          <cell r="G9">
            <v>14</v>
          </cell>
        </row>
        <row r="10">
          <cell r="B10" t="str">
            <v>方品云</v>
          </cell>
          <cell r="C10">
            <v>15</v>
          </cell>
          <cell r="D10">
            <v>8</v>
          </cell>
          <cell r="E10">
            <v>8</v>
          </cell>
          <cell r="G10">
            <v>14</v>
          </cell>
        </row>
        <row r="11">
          <cell r="B11" t="str">
            <v>田嗣鴻</v>
          </cell>
          <cell r="C11">
            <v>10</v>
          </cell>
          <cell r="D11">
            <v>11</v>
          </cell>
          <cell r="E11">
            <v>6</v>
          </cell>
          <cell r="F11">
            <v>7</v>
          </cell>
          <cell r="G11">
            <v>9</v>
          </cell>
        </row>
        <row r="12">
          <cell r="B12" t="str">
            <v>黃為心</v>
          </cell>
          <cell r="C12">
            <v>12</v>
          </cell>
          <cell r="D12">
            <v>4</v>
          </cell>
          <cell r="E12">
            <v>5</v>
          </cell>
          <cell r="F12">
            <v>6</v>
          </cell>
          <cell r="G12">
            <v>9</v>
          </cell>
        </row>
        <row r="13">
          <cell r="B13" t="str">
            <v>鄭芷帆</v>
          </cell>
          <cell r="C13">
            <v>11</v>
          </cell>
          <cell r="D13">
            <v>10</v>
          </cell>
          <cell r="E13">
            <v>5</v>
          </cell>
          <cell r="G13">
            <v>11</v>
          </cell>
        </row>
        <row r="14">
          <cell r="B14" t="str">
            <v>游棨穎</v>
          </cell>
          <cell r="C14">
            <v>11</v>
          </cell>
          <cell r="D14">
            <v>9</v>
          </cell>
          <cell r="E14">
            <v>7</v>
          </cell>
          <cell r="G14">
            <v>11</v>
          </cell>
        </row>
        <row r="15">
          <cell r="B15" t="str">
            <v>劉思妤</v>
          </cell>
          <cell r="C15">
            <v>12</v>
          </cell>
          <cell r="D15">
            <v>11</v>
          </cell>
          <cell r="E15">
            <v>11</v>
          </cell>
          <cell r="F15">
            <v>10</v>
          </cell>
        </row>
        <row r="16">
          <cell r="B16" t="str">
            <v>陳宥溱</v>
          </cell>
          <cell r="C16">
            <v>11</v>
          </cell>
          <cell r="D16">
            <v>7</v>
          </cell>
          <cell r="E16">
            <v>7</v>
          </cell>
          <cell r="F16">
            <v>9</v>
          </cell>
          <cell r="G16">
            <v>7</v>
          </cell>
        </row>
        <row r="17">
          <cell r="B17" t="str">
            <v>謝秉哲</v>
          </cell>
          <cell r="C17">
            <v>11</v>
          </cell>
          <cell r="D17">
            <v>5</v>
          </cell>
          <cell r="E17">
            <v>7</v>
          </cell>
          <cell r="F17">
            <v>10</v>
          </cell>
          <cell r="G17">
            <v>11</v>
          </cell>
        </row>
        <row r="18">
          <cell r="B18" t="str">
            <v>陳歆宜</v>
          </cell>
          <cell r="C18">
            <v>13</v>
          </cell>
          <cell r="D18">
            <v>14</v>
          </cell>
          <cell r="E18">
            <v>12</v>
          </cell>
          <cell r="F18">
            <v>11</v>
          </cell>
          <cell r="G18">
            <v>12</v>
          </cell>
        </row>
        <row r="19">
          <cell r="B19" t="str">
            <v>李翊志</v>
          </cell>
          <cell r="C19">
            <v>8</v>
          </cell>
          <cell r="D19">
            <v>4</v>
          </cell>
          <cell r="E19">
            <v>9</v>
          </cell>
          <cell r="F19">
            <v>10</v>
          </cell>
          <cell r="G19">
            <v>9</v>
          </cell>
        </row>
        <row r="20">
          <cell r="B20" t="str">
            <v>廖昀恩</v>
          </cell>
          <cell r="C20">
            <v>8</v>
          </cell>
          <cell r="D20">
            <v>2</v>
          </cell>
          <cell r="E20">
            <v>7</v>
          </cell>
          <cell r="F20">
            <v>7</v>
          </cell>
          <cell r="G20">
            <v>9</v>
          </cell>
        </row>
        <row r="21">
          <cell r="B21" t="str">
            <v>張程翔</v>
          </cell>
          <cell r="C21">
            <v>11</v>
          </cell>
          <cell r="D21">
            <v>9</v>
          </cell>
          <cell r="E21">
            <v>8</v>
          </cell>
          <cell r="G21">
            <v>13</v>
          </cell>
        </row>
        <row r="22">
          <cell r="B22" t="str">
            <v>邱毅杰</v>
          </cell>
          <cell r="C22">
            <v>12</v>
          </cell>
          <cell r="D22">
            <v>6</v>
          </cell>
          <cell r="E22">
            <v>7</v>
          </cell>
          <cell r="G22">
            <v>10</v>
          </cell>
        </row>
        <row r="23">
          <cell r="B23" t="str">
            <v>張亦佐</v>
          </cell>
          <cell r="C23">
            <v>12</v>
          </cell>
          <cell r="D23">
            <v>11</v>
          </cell>
          <cell r="E23">
            <v>10</v>
          </cell>
          <cell r="F23">
            <v>11</v>
          </cell>
          <cell r="G23">
            <v>14</v>
          </cell>
        </row>
        <row r="24">
          <cell r="B24" t="str">
            <v>林子宸</v>
          </cell>
          <cell r="C24">
            <v>12</v>
          </cell>
          <cell r="D24">
            <v>10</v>
          </cell>
          <cell r="E24">
            <v>10</v>
          </cell>
          <cell r="F24">
            <v>10</v>
          </cell>
          <cell r="G24">
            <v>13</v>
          </cell>
        </row>
        <row r="25">
          <cell r="B25" t="str">
            <v>謝承恩</v>
          </cell>
          <cell r="C25">
            <v>8</v>
          </cell>
          <cell r="D25">
            <v>6</v>
          </cell>
          <cell r="E25">
            <v>6</v>
          </cell>
          <cell r="F25">
            <v>8</v>
          </cell>
        </row>
        <row r="26">
          <cell r="B26" t="str">
            <v>汪宗諺</v>
          </cell>
          <cell r="C26">
            <v>11</v>
          </cell>
          <cell r="D26">
            <v>14</v>
          </cell>
          <cell r="E26">
            <v>12</v>
          </cell>
          <cell r="F26">
            <v>10</v>
          </cell>
          <cell r="G26">
            <v>1</v>
          </cell>
        </row>
        <row r="27">
          <cell r="B27" t="str">
            <v>王盛榮</v>
          </cell>
          <cell r="C27">
            <v>11</v>
          </cell>
          <cell r="D27">
            <v>10</v>
          </cell>
          <cell r="E27">
            <v>8</v>
          </cell>
          <cell r="F27">
            <v>10</v>
          </cell>
        </row>
        <row r="28">
          <cell r="B28" t="str">
            <v>吳欣哲</v>
          </cell>
        </row>
        <row r="29">
          <cell r="B29" t="str">
            <v>陳竑愷</v>
          </cell>
          <cell r="C29">
            <v>10</v>
          </cell>
          <cell r="D29">
            <v>7</v>
          </cell>
          <cell r="E29">
            <v>6</v>
          </cell>
          <cell r="F29">
            <v>7</v>
          </cell>
          <cell r="G29">
            <v>9</v>
          </cell>
        </row>
        <row r="30">
          <cell r="B30" t="str">
            <v>王毓雯</v>
          </cell>
          <cell r="C30">
            <v>12</v>
          </cell>
          <cell r="D30">
            <v>5</v>
          </cell>
          <cell r="E30">
            <v>6</v>
          </cell>
          <cell r="F30">
            <v>7</v>
          </cell>
          <cell r="G30">
            <v>9</v>
          </cell>
        </row>
        <row r="31">
          <cell r="B31" t="str">
            <v>羅雅柔</v>
          </cell>
        </row>
        <row r="32">
          <cell r="B32" t="str">
            <v>孫苡宸</v>
          </cell>
          <cell r="C32">
            <v>12</v>
          </cell>
          <cell r="D32">
            <v>7</v>
          </cell>
          <cell r="E32">
            <v>6</v>
          </cell>
          <cell r="F32">
            <v>9</v>
          </cell>
          <cell r="G32">
            <v>10</v>
          </cell>
        </row>
        <row r="33">
          <cell r="B33" t="str">
            <v>張庭瑄</v>
          </cell>
          <cell r="C33">
            <v>11</v>
          </cell>
          <cell r="D33">
            <v>8</v>
          </cell>
          <cell r="G33">
            <v>9</v>
          </cell>
        </row>
        <row r="34">
          <cell r="B34" t="str">
            <v>黃思瑗</v>
          </cell>
          <cell r="C34">
            <v>9</v>
          </cell>
          <cell r="D34">
            <v>6</v>
          </cell>
          <cell r="E34">
            <v>6</v>
          </cell>
          <cell r="F34">
            <v>3</v>
          </cell>
          <cell r="G34">
            <v>7</v>
          </cell>
        </row>
        <row r="35">
          <cell r="B35" t="str">
            <v>江謝睿恩</v>
          </cell>
          <cell r="C35">
            <v>12</v>
          </cell>
          <cell r="D35">
            <v>9</v>
          </cell>
          <cell r="E35">
            <v>6</v>
          </cell>
          <cell r="F35">
            <v>7</v>
          </cell>
          <cell r="G35">
            <v>10</v>
          </cell>
        </row>
        <row r="36">
          <cell r="B36" t="str">
            <v>李承縉</v>
          </cell>
          <cell r="C36">
            <v>8</v>
          </cell>
          <cell r="D36">
            <v>6</v>
          </cell>
          <cell r="E36">
            <v>6</v>
          </cell>
          <cell r="F36">
            <v>6</v>
          </cell>
          <cell r="G36">
            <v>7</v>
          </cell>
        </row>
        <row r="37">
          <cell r="B37" t="str">
            <v>徐孟鈞</v>
          </cell>
          <cell r="C37">
            <v>8</v>
          </cell>
          <cell r="D37">
            <v>5</v>
          </cell>
          <cell r="E37">
            <v>8</v>
          </cell>
          <cell r="F37">
            <v>10</v>
          </cell>
        </row>
        <row r="38">
          <cell r="B38" t="str">
            <v>許乃元</v>
          </cell>
          <cell r="C38">
            <v>8</v>
          </cell>
          <cell r="D38">
            <v>8</v>
          </cell>
          <cell r="E38">
            <v>5</v>
          </cell>
          <cell r="G38">
            <v>12</v>
          </cell>
        </row>
        <row r="39">
          <cell r="B39" t="str">
            <v>頂標</v>
          </cell>
          <cell r="C39">
            <v>13</v>
          </cell>
          <cell r="D39">
            <v>13</v>
          </cell>
          <cell r="E39">
            <v>10</v>
          </cell>
          <cell r="F39">
            <v>12</v>
          </cell>
          <cell r="G39">
            <v>12</v>
          </cell>
        </row>
        <row r="40">
          <cell r="B40" t="str">
            <v>前標</v>
          </cell>
          <cell r="C40">
            <v>12</v>
          </cell>
          <cell r="D40">
            <v>11</v>
          </cell>
          <cell r="E40">
            <v>9</v>
          </cell>
          <cell r="F40">
            <v>10</v>
          </cell>
          <cell r="G40">
            <v>11</v>
          </cell>
        </row>
        <row r="41">
          <cell r="B41" t="str">
            <v>均標</v>
          </cell>
          <cell r="C41">
            <v>11</v>
          </cell>
          <cell r="D41">
            <v>8</v>
          </cell>
          <cell r="E41">
            <v>6</v>
          </cell>
          <cell r="F41">
            <v>8</v>
          </cell>
          <cell r="G41">
            <v>10</v>
          </cell>
        </row>
        <row r="42">
          <cell r="B42" t="str">
            <v>後標</v>
          </cell>
          <cell r="C42">
            <v>9</v>
          </cell>
          <cell r="D42">
            <v>5</v>
          </cell>
          <cell r="E42">
            <v>4</v>
          </cell>
          <cell r="F42">
            <v>6</v>
          </cell>
          <cell r="G42">
            <v>8</v>
          </cell>
        </row>
        <row r="43">
          <cell r="B43" t="str">
            <v>底標</v>
          </cell>
          <cell r="C43">
            <v>8</v>
          </cell>
          <cell r="D43">
            <v>3</v>
          </cell>
          <cell r="E43">
            <v>3</v>
          </cell>
          <cell r="F43">
            <v>5</v>
          </cell>
          <cell r="G43">
            <v>7</v>
          </cell>
        </row>
      </sheetData>
      <sheetData sheetId="1">
        <row r="1">
          <cell r="B1" t="str">
            <v>範圍</v>
          </cell>
          <cell r="C1" t="str">
            <v>第二次學測模擬考</v>
          </cell>
        </row>
        <row r="2">
          <cell r="B2" t="str">
            <v>科目</v>
          </cell>
          <cell r="C2" t="str">
            <v>國文</v>
          </cell>
          <cell r="D2" t="str">
            <v>英文</v>
          </cell>
          <cell r="E2" t="str">
            <v>數A</v>
          </cell>
          <cell r="F2" t="str">
            <v>數B</v>
          </cell>
          <cell r="G2" t="str">
            <v>自然</v>
          </cell>
          <cell r="H2" t="str">
            <v>社會</v>
          </cell>
        </row>
        <row r="3">
          <cell r="B3" t="str">
            <v>陳宗佑</v>
          </cell>
          <cell r="C3">
            <v>10</v>
          </cell>
          <cell r="D3">
            <v>5</v>
          </cell>
          <cell r="E3">
            <v>5</v>
          </cell>
          <cell r="F3">
            <v>4</v>
          </cell>
          <cell r="G3">
            <v>6</v>
          </cell>
          <cell r="H3">
            <v>6</v>
          </cell>
        </row>
        <row r="4">
          <cell r="B4" t="str">
            <v>郭星妤</v>
          </cell>
          <cell r="C4">
            <v>5</v>
          </cell>
          <cell r="D4">
            <v>5</v>
          </cell>
          <cell r="E4">
            <v>6</v>
          </cell>
          <cell r="F4">
            <v>7</v>
          </cell>
          <cell r="G4">
            <v>7</v>
          </cell>
        </row>
        <row r="5">
          <cell r="B5" t="str">
            <v>施宥辰</v>
          </cell>
          <cell r="C5">
            <v>11</v>
          </cell>
          <cell r="D5">
            <v>10</v>
          </cell>
          <cell r="E5">
            <v>10</v>
          </cell>
          <cell r="G5">
            <v>10</v>
          </cell>
          <cell r="H5">
            <v>9</v>
          </cell>
        </row>
        <row r="6">
          <cell r="B6" t="str">
            <v>周筱瑜</v>
          </cell>
          <cell r="C6">
            <v>12</v>
          </cell>
          <cell r="D6">
            <v>13</v>
          </cell>
          <cell r="E6">
            <v>8</v>
          </cell>
          <cell r="F6">
            <v>15</v>
          </cell>
          <cell r="G6">
            <v>12</v>
          </cell>
        </row>
        <row r="7">
          <cell r="B7" t="str">
            <v>蔡宇恩</v>
          </cell>
          <cell r="C7">
            <v>12</v>
          </cell>
          <cell r="D7">
            <v>9</v>
          </cell>
          <cell r="E7">
            <v>10</v>
          </cell>
          <cell r="G7">
            <v>12</v>
          </cell>
          <cell r="H7">
            <v>11</v>
          </cell>
        </row>
        <row r="8">
          <cell r="B8" t="str">
            <v>傅聖皓</v>
          </cell>
          <cell r="C8">
            <v>10</v>
          </cell>
          <cell r="D8">
            <v>8</v>
          </cell>
          <cell r="E8">
            <v>6</v>
          </cell>
          <cell r="F8">
            <v>9</v>
          </cell>
          <cell r="G8">
            <v>9</v>
          </cell>
        </row>
        <row r="9">
          <cell r="B9" t="str">
            <v>李孟樺</v>
          </cell>
          <cell r="C9">
            <v>15</v>
          </cell>
          <cell r="D9">
            <v>13</v>
          </cell>
          <cell r="E9">
            <v>8</v>
          </cell>
          <cell r="G9">
            <v>12</v>
          </cell>
          <cell r="H9">
            <v>12</v>
          </cell>
        </row>
        <row r="10">
          <cell r="B10" t="str">
            <v>方品云</v>
          </cell>
          <cell r="C10">
            <v>13</v>
          </cell>
          <cell r="D10">
            <v>13</v>
          </cell>
          <cell r="E10">
            <v>3</v>
          </cell>
          <cell r="F10">
            <v>4</v>
          </cell>
          <cell r="H10">
            <v>12</v>
          </cell>
        </row>
        <row r="11">
          <cell r="B11" t="str">
            <v>田嗣鴻</v>
          </cell>
          <cell r="C11">
            <v>10</v>
          </cell>
          <cell r="D11">
            <v>12</v>
          </cell>
          <cell r="E11">
            <v>4</v>
          </cell>
          <cell r="G11">
            <v>7</v>
          </cell>
        </row>
        <row r="12">
          <cell r="B12" t="str">
            <v>黃為心</v>
          </cell>
          <cell r="C12">
            <v>9</v>
          </cell>
          <cell r="D12">
            <v>4</v>
          </cell>
          <cell r="E12">
            <v>6</v>
          </cell>
          <cell r="G12">
            <v>8</v>
          </cell>
          <cell r="H12">
            <v>10</v>
          </cell>
        </row>
        <row r="13">
          <cell r="B13" t="str">
            <v>鄭芷帆</v>
          </cell>
          <cell r="C13">
            <v>12</v>
          </cell>
          <cell r="D13">
            <v>10</v>
          </cell>
          <cell r="E13">
            <v>4</v>
          </cell>
          <cell r="F13">
            <v>6</v>
          </cell>
          <cell r="H13">
            <v>11</v>
          </cell>
        </row>
        <row r="14">
          <cell r="B14" t="str">
            <v>游棨穎</v>
          </cell>
          <cell r="C14">
            <v>10</v>
          </cell>
          <cell r="D14">
            <v>8</v>
          </cell>
          <cell r="E14">
            <v>5</v>
          </cell>
          <cell r="F14">
            <v>12</v>
          </cell>
          <cell r="H14">
            <v>13</v>
          </cell>
        </row>
        <row r="15">
          <cell r="B15" t="str">
            <v>劉思妤</v>
          </cell>
          <cell r="C15">
            <v>12</v>
          </cell>
          <cell r="D15">
            <v>12</v>
          </cell>
          <cell r="E15">
            <v>10</v>
          </cell>
          <cell r="F15">
            <v>11</v>
          </cell>
          <cell r="G15">
            <v>10</v>
          </cell>
        </row>
        <row r="16">
          <cell r="B16" t="str">
            <v>陳宥溱</v>
          </cell>
          <cell r="C16">
            <v>12</v>
          </cell>
          <cell r="D16">
            <v>5</v>
          </cell>
          <cell r="E16">
            <v>5</v>
          </cell>
          <cell r="F16">
            <v>11</v>
          </cell>
          <cell r="G16">
            <v>10</v>
          </cell>
          <cell r="H16">
            <v>7</v>
          </cell>
        </row>
        <row r="17">
          <cell r="B17" t="str">
            <v>謝秉哲</v>
          </cell>
          <cell r="C17">
            <v>11</v>
          </cell>
          <cell r="D17">
            <v>4</v>
          </cell>
          <cell r="E17">
            <v>7</v>
          </cell>
          <cell r="F17">
            <v>8</v>
          </cell>
          <cell r="G17">
            <v>9</v>
          </cell>
          <cell r="H17">
            <v>12</v>
          </cell>
        </row>
        <row r="18">
          <cell r="B18" t="str">
            <v>陳歆宜</v>
          </cell>
          <cell r="C18">
            <v>14</v>
          </cell>
          <cell r="D18">
            <v>14</v>
          </cell>
          <cell r="E18">
            <v>9</v>
          </cell>
          <cell r="G18">
            <v>11</v>
          </cell>
          <cell r="H18">
            <v>12</v>
          </cell>
        </row>
        <row r="19">
          <cell r="B19" t="str">
            <v>李翊志</v>
          </cell>
          <cell r="C19">
            <v>9</v>
          </cell>
          <cell r="D19">
            <v>7</v>
          </cell>
          <cell r="E19">
            <v>7</v>
          </cell>
          <cell r="F19">
            <v>14</v>
          </cell>
          <cell r="G19">
            <v>7</v>
          </cell>
          <cell r="H19">
            <v>9</v>
          </cell>
        </row>
        <row r="20">
          <cell r="B20" t="str">
            <v>廖昀恩</v>
          </cell>
          <cell r="C20">
            <v>9</v>
          </cell>
          <cell r="D20">
            <v>3</v>
          </cell>
          <cell r="E20">
            <v>4</v>
          </cell>
          <cell r="F20">
            <v>7</v>
          </cell>
          <cell r="G20">
            <v>5</v>
          </cell>
          <cell r="H20">
            <v>8</v>
          </cell>
        </row>
        <row r="21">
          <cell r="B21" t="str">
            <v>張程翔</v>
          </cell>
          <cell r="C21">
            <v>11</v>
          </cell>
          <cell r="D21">
            <v>7</v>
          </cell>
          <cell r="E21">
            <v>8</v>
          </cell>
          <cell r="F21">
            <v>9</v>
          </cell>
          <cell r="H21">
            <v>14</v>
          </cell>
        </row>
        <row r="22">
          <cell r="B22" t="str">
            <v>邱毅杰</v>
          </cell>
          <cell r="C22">
            <v>11</v>
          </cell>
          <cell r="D22">
            <v>7</v>
          </cell>
          <cell r="E22">
            <v>6</v>
          </cell>
          <cell r="F22">
            <v>10</v>
          </cell>
          <cell r="H22">
            <v>12</v>
          </cell>
        </row>
        <row r="23">
          <cell r="B23" t="str">
            <v>張亦佐</v>
          </cell>
          <cell r="C23">
            <v>13</v>
          </cell>
          <cell r="D23">
            <v>11</v>
          </cell>
          <cell r="E23">
            <v>11</v>
          </cell>
          <cell r="G23">
            <v>11</v>
          </cell>
          <cell r="H23">
            <v>14</v>
          </cell>
        </row>
        <row r="24">
          <cell r="B24" t="str">
            <v>林子宸</v>
          </cell>
          <cell r="C24">
            <v>11</v>
          </cell>
          <cell r="D24">
            <v>11</v>
          </cell>
          <cell r="E24">
            <v>10</v>
          </cell>
          <cell r="F24">
            <v>13</v>
          </cell>
          <cell r="G24">
            <v>10</v>
          </cell>
          <cell r="H24">
            <v>14</v>
          </cell>
        </row>
        <row r="25">
          <cell r="B25" t="str">
            <v>謝承恩</v>
          </cell>
          <cell r="C25">
            <v>11</v>
          </cell>
          <cell r="D25">
            <v>5</v>
          </cell>
          <cell r="E25">
            <v>7</v>
          </cell>
          <cell r="G25">
            <v>9</v>
          </cell>
          <cell r="H25">
            <v>4</v>
          </cell>
        </row>
        <row r="26">
          <cell r="B26" t="str">
            <v>汪宗諺</v>
          </cell>
        </row>
        <row r="27">
          <cell r="B27" t="str">
            <v>王盛榮</v>
          </cell>
          <cell r="C27">
            <v>10</v>
          </cell>
          <cell r="D27">
            <v>9</v>
          </cell>
          <cell r="E27">
            <v>5</v>
          </cell>
          <cell r="F27">
            <v>6</v>
          </cell>
          <cell r="G27">
            <v>10</v>
          </cell>
          <cell r="H27">
            <v>6</v>
          </cell>
        </row>
        <row r="28">
          <cell r="B28" t="str">
            <v>吳欣哲</v>
          </cell>
          <cell r="C28">
            <v>7</v>
          </cell>
          <cell r="D28">
            <v>4</v>
          </cell>
          <cell r="E28">
            <v>3</v>
          </cell>
          <cell r="F28">
            <v>3</v>
          </cell>
          <cell r="G28">
            <v>4</v>
          </cell>
          <cell r="H28">
            <v>8</v>
          </cell>
        </row>
        <row r="29">
          <cell r="B29" t="str">
            <v>陳竑愷</v>
          </cell>
          <cell r="C29">
            <v>10</v>
          </cell>
          <cell r="D29">
            <v>6</v>
          </cell>
          <cell r="E29">
            <v>4</v>
          </cell>
          <cell r="G29">
            <v>8</v>
          </cell>
          <cell r="H29">
            <v>7</v>
          </cell>
        </row>
        <row r="30">
          <cell r="B30" t="str">
            <v>王毓雯</v>
          </cell>
          <cell r="C30">
            <v>11</v>
          </cell>
          <cell r="D30">
            <v>7</v>
          </cell>
          <cell r="E30">
            <v>4</v>
          </cell>
          <cell r="F30">
            <v>5</v>
          </cell>
          <cell r="G30">
            <v>6</v>
          </cell>
          <cell r="H30">
            <v>10</v>
          </cell>
        </row>
        <row r="31">
          <cell r="B31" t="str">
            <v>羅雅柔</v>
          </cell>
          <cell r="C31">
            <v>10</v>
          </cell>
          <cell r="D31">
            <v>5</v>
          </cell>
          <cell r="E31">
            <v>5</v>
          </cell>
          <cell r="F31">
            <v>5</v>
          </cell>
          <cell r="G31">
            <v>10</v>
          </cell>
          <cell r="H31">
            <v>8</v>
          </cell>
        </row>
        <row r="32">
          <cell r="B32" t="str">
            <v>孫苡宸</v>
          </cell>
          <cell r="C32">
            <v>12</v>
          </cell>
          <cell r="D32">
            <v>7</v>
          </cell>
          <cell r="E32">
            <v>5</v>
          </cell>
          <cell r="F32">
            <v>7</v>
          </cell>
          <cell r="G32">
            <v>7</v>
          </cell>
          <cell r="H32">
            <v>8</v>
          </cell>
        </row>
        <row r="33">
          <cell r="B33" t="str">
            <v>張庭瑄</v>
          </cell>
        </row>
        <row r="34">
          <cell r="B34" t="str">
            <v>黃思瑗</v>
          </cell>
        </row>
        <row r="35">
          <cell r="B35" t="str">
            <v>江謝睿恩</v>
          </cell>
          <cell r="C35">
            <v>12</v>
          </cell>
          <cell r="D35">
            <v>10</v>
          </cell>
          <cell r="E35">
            <v>3</v>
          </cell>
          <cell r="F35">
            <v>6</v>
          </cell>
          <cell r="G35">
            <v>9</v>
          </cell>
          <cell r="H35">
            <v>10</v>
          </cell>
        </row>
        <row r="36">
          <cell r="B36" t="str">
            <v>李承縉</v>
          </cell>
          <cell r="C36">
            <v>9</v>
          </cell>
          <cell r="D36">
            <v>6</v>
          </cell>
          <cell r="E36">
            <v>4</v>
          </cell>
          <cell r="F36">
            <v>8</v>
          </cell>
          <cell r="G36">
            <v>6</v>
          </cell>
          <cell r="H36">
            <v>7</v>
          </cell>
        </row>
        <row r="37">
          <cell r="B37" t="str">
            <v>徐孟鈞</v>
          </cell>
        </row>
        <row r="38">
          <cell r="B38" t="str">
            <v>許乃元</v>
          </cell>
          <cell r="D38">
            <v>7</v>
          </cell>
          <cell r="F38">
            <v>5</v>
          </cell>
        </row>
        <row r="41">
          <cell r="B41" t="str">
            <v>頂標</v>
          </cell>
          <cell r="C41">
            <v>13</v>
          </cell>
          <cell r="D41">
            <v>13</v>
          </cell>
          <cell r="E41">
            <v>10</v>
          </cell>
          <cell r="F41">
            <v>12</v>
          </cell>
          <cell r="G41">
            <v>12</v>
          </cell>
          <cell r="H41">
            <v>13</v>
          </cell>
        </row>
        <row r="42">
          <cell r="B42" t="str">
            <v>前標</v>
          </cell>
          <cell r="C42">
            <v>12</v>
          </cell>
          <cell r="D42">
            <v>11</v>
          </cell>
          <cell r="E42">
            <v>8</v>
          </cell>
          <cell r="F42">
            <v>9</v>
          </cell>
          <cell r="G42">
            <v>11</v>
          </cell>
          <cell r="H42">
            <v>12</v>
          </cell>
        </row>
        <row r="43">
          <cell r="B43" t="str">
            <v>均標</v>
          </cell>
          <cell r="C43">
            <v>11</v>
          </cell>
          <cell r="D43">
            <v>8</v>
          </cell>
          <cell r="E43">
            <v>5</v>
          </cell>
          <cell r="F43">
            <v>7</v>
          </cell>
          <cell r="G43">
            <v>9</v>
          </cell>
          <cell r="H43">
            <v>10</v>
          </cell>
        </row>
        <row r="44">
          <cell r="B44" t="str">
            <v>後標</v>
          </cell>
          <cell r="C44">
            <v>9</v>
          </cell>
          <cell r="D44">
            <v>5</v>
          </cell>
          <cell r="E44">
            <v>4</v>
          </cell>
          <cell r="F44">
            <v>5</v>
          </cell>
          <cell r="G44">
            <v>6</v>
          </cell>
          <cell r="H44">
            <v>8</v>
          </cell>
        </row>
        <row r="45">
          <cell r="B45" t="str">
            <v>底標</v>
          </cell>
          <cell r="C45">
            <v>8</v>
          </cell>
          <cell r="D45">
            <v>4</v>
          </cell>
          <cell r="E45">
            <v>3</v>
          </cell>
          <cell r="F45">
            <v>3</v>
          </cell>
          <cell r="G45">
            <v>5</v>
          </cell>
          <cell r="H45">
            <v>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abSelected="1" zoomScale="70" zoomScaleNormal="70" workbookViewId="0">
      <pane xSplit="1" topLeftCell="B1" activePane="topRight" state="frozen"/>
      <selection pane="topRight" activeCell="DS1" sqref="D1:DS1048576"/>
    </sheetView>
  </sheetViews>
  <sheetFormatPr defaultRowHeight="15.75" x14ac:dyDescent="0.25"/>
  <cols>
    <col min="1" max="1" width="10.28515625" bestFit="1" customWidth="1"/>
    <col min="2" max="2" width="12.7109375" bestFit="1" customWidth="1"/>
    <col min="3" max="3" width="6" bestFit="1" customWidth="1"/>
    <col min="4" max="14" width="18.7109375" customWidth="1"/>
    <col min="15" max="16" width="11.42578125" bestFit="1" customWidth="1"/>
    <col min="17" max="17" width="10.5703125" bestFit="1" customWidth="1"/>
    <col min="18" max="18" width="10.42578125" bestFit="1" customWidth="1"/>
    <col min="19" max="20" width="11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112</v>
      </c>
      <c r="E1" t="s">
        <v>113</v>
      </c>
      <c r="F1" t="s">
        <v>122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26</v>
      </c>
      <c r="P1" t="s">
        <v>27</v>
      </c>
      <c r="Q1" t="s">
        <v>28</v>
      </c>
      <c r="R1" t="s">
        <v>29</v>
      </c>
      <c r="S1" t="s">
        <v>31</v>
      </c>
      <c r="T1" t="s">
        <v>30</v>
      </c>
    </row>
    <row r="2" spans="1:20" x14ac:dyDescent="0.25">
      <c r="A2" t="s">
        <v>4</v>
      </c>
      <c r="B2" t="s">
        <v>32</v>
      </c>
      <c r="C2" t="s">
        <v>42</v>
      </c>
      <c r="D2" cm="1">
        <f t="array" ref="D2:H2">_xlfn.XLOOKUP(A2,'[1]第一次落點分析 '!$B:$B,'[1]第一次落點分析 '!$C:$G,"")</f>
        <v>10</v>
      </c>
      <c r="E2">
        <v>6</v>
      </c>
      <c r="F2">
        <v>6</v>
      </c>
      <c r="G2" t="str">
        <v>－</v>
      </c>
      <c r="H2">
        <v>10</v>
      </c>
      <c r="I2" cm="1">
        <f t="array" ref="I2:N2">_xlfn.XLOOKUP(A2,[1]第二次落點分析!$B:$B,[1]第二次落點分析!$C:$H,"")</f>
        <v>11</v>
      </c>
      <c r="J2">
        <v>10</v>
      </c>
      <c r="K2">
        <v>7</v>
      </c>
      <c r="L2">
        <v>9</v>
      </c>
      <c r="M2" t="str">
        <v>－</v>
      </c>
      <c r="N2">
        <v>13</v>
      </c>
      <c r="O2" cm="1">
        <f t="array" ref="O2:T2">_xlfn.XLOOKUP(A2,'[1]113學測'!$B:$B,'[1]113學測'!$C:$H,"")</f>
        <v>11</v>
      </c>
      <c r="P2">
        <v>7</v>
      </c>
      <c r="Q2">
        <v>6</v>
      </c>
      <c r="R2">
        <v>9</v>
      </c>
      <c r="S2">
        <v>0</v>
      </c>
      <c r="T2">
        <v>14</v>
      </c>
    </row>
    <row r="3" spans="1:20" x14ac:dyDescent="0.25">
      <c r="A3" t="s">
        <v>5</v>
      </c>
      <c r="B3" t="s">
        <v>33</v>
      </c>
      <c r="C3" t="s">
        <v>43</v>
      </c>
      <c r="D3" cm="1">
        <f t="array" ref="D3:H3">_xlfn.XLOOKUP(A3,'[1]第一次落點分析 '!$B:$B,'[1]第一次落點分析 '!$C:$G,"")</f>
        <v>10</v>
      </c>
      <c r="E3">
        <v>10</v>
      </c>
      <c r="F3">
        <v>13</v>
      </c>
      <c r="G3">
        <v>15</v>
      </c>
      <c r="H3" t="str">
        <v>－</v>
      </c>
      <c r="I3" cm="1">
        <f t="array" ref="I3:N3">_xlfn.XLOOKUP(A3,[1]第二次落點分析!$B:$B,[1]第二次落點分析!$C:$H,"")</f>
        <v>9</v>
      </c>
      <c r="J3">
        <v>13</v>
      </c>
      <c r="K3">
        <v>14</v>
      </c>
      <c r="L3" t="str">
        <v>－</v>
      </c>
      <c r="M3">
        <v>13</v>
      </c>
      <c r="N3" t="str">
        <v>－</v>
      </c>
      <c r="O3" cm="1">
        <f t="array" ref="O3:T3">_xlfn.XLOOKUP(A3,'[1]113學測'!$B:$B,'[1]113學測'!$C:$H,"")</f>
        <v>11</v>
      </c>
      <c r="P3">
        <v>11</v>
      </c>
      <c r="Q3">
        <v>13</v>
      </c>
      <c r="R3">
        <v>0</v>
      </c>
      <c r="S3">
        <v>14</v>
      </c>
      <c r="T3">
        <v>0</v>
      </c>
    </row>
    <row r="4" spans="1:20" x14ac:dyDescent="0.25">
      <c r="A4" t="s">
        <v>6</v>
      </c>
      <c r="B4" t="s">
        <v>33</v>
      </c>
      <c r="C4" t="s">
        <v>43</v>
      </c>
      <c r="D4" cm="1">
        <f t="array" ref="D4:H4">_xlfn.XLOOKUP(A4,'[1]第一次落點分析 '!$B:$B,'[1]第一次落點分析 '!$C:$G,"")</f>
        <v>11</v>
      </c>
      <c r="E4">
        <v>5</v>
      </c>
      <c r="F4">
        <v>10</v>
      </c>
      <c r="G4" t="str">
        <v>－</v>
      </c>
      <c r="H4">
        <v>13</v>
      </c>
      <c r="I4" cm="1">
        <f t="array" ref="I4:N4">_xlfn.XLOOKUP(A4,[1]第二次落點分析!$B:$B,[1]第二次落點分析!$C:$H,"")</f>
        <v>12</v>
      </c>
      <c r="J4">
        <v>7</v>
      </c>
      <c r="K4">
        <v>9</v>
      </c>
      <c r="L4">
        <v>12</v>
      </c>
      <c r="M4" t="str">
        <v>－</v>
      </c>
      <c r="N4">
        <v>14</v>
      </c>
      <c r="O4" cm="1">
        <f t="array" ref="O4:T4">_xlfn.XLOOKUP(A4,'[1]113學測'!$B:$B,'[1]113學測'!$C:$H,"")</f>
        <v>12</v>
      </c>
      <c r="P4">
        <v>8</v>
      </c>
      <c r="Q4">
        <v>10</v>
      </c>
      <c r="R4">
        <v>11</v>
      </c>
      <c r="S4">
        <v>0</v>
      </c>
      <c r="T4">
        <v>12</v>
      </c>
    </row>
    <row r="5" spans="1:20" x14ac:dyDescent="0.25">
      <c r="A5" t="s">
        <v>7</v>
      </c>
      <c r="B5" t="s">
        <v>34</v>
      </c>
      <c r="C5" t="s">
        <v>43</v>
      </c>
      <c r="D5" cm="1">
        <f t="array" ref="D5:H5">_xlfn.XLOOKUP(A5,'[1]第一次落點分析 '!$B:$B,'[1]第一次落點分析 '!$C:$G,"")</f>
        <v>11</v>
      </c>
      <c r="E5">
        <v>5</v>
      </c>
      <c r="F5">
        <v>8</v>
      </c>
      <c r="G5">
        <v>8</v>
      </c>
      <c r="H5" t="str">
        <v>－</v>
      </c>
      <c r="I5" cm="1">
        <f t="array" ref="I5:N5">_xlfn.XLOOKUP(A5,[1]第二次落點分析!$B:$B,[1]第二次落點分析!$C:$H,"")</f>
        <v>12</v>
      </c>
      <c r="J5">
        <v>8</v>
      </c>
      <c r="K5">
        <v>9</v>
      </c>
      <c r="L5" t="str">
        <v>－</v>
      </c>
      <c r="M5">
        <v>11</v>
      </c>
      <c r="N5" t="str">
        <v>－</v>
      </c>
      <c r="O5" cm="1">
        <f t="array" ref="O5:T5">_xlfn.XLOOKUP(A5,'[1]113學測'!$B:$B,'[1]113學測'!$C:$H,"")</f>
        <v>12</v>
      </c>
      <c r="P5">
        <v>9</v>
      </c>
      <c r="Q5">
        <v>6</v>
      </c>
      <c r="R5">
        <v>7</v>
      </c>
      <c r="S5">
        <v>10</v>
      </c>
      <c r="T5">
        <v>11</v>
      </c>
    </row>
    <row r="6" spans="1:20" x14ac:dyDescent="0.25">
      <c r="A6" t="s">
        <v>8</v>
      </c>
      <c r="B6" t="s">
        <v>33</v>
      </c>
      <c r="C6" t="s">
        <v>43</v>
      </c>
      <c r="D6" cm="1">
        <f t="array" ref="D6:H6">_xlfn.XLOOKUP(A6,'[1]第一次落點分析 '!$B:$B,'[1]第一次落點分析 '!$C:$G,"")</f>
        <v>9</v>
      </c>
      <c r="E6">
        <v>6</v>
      </c>
      <c r="F6">
        <v>13</v>
      </c>
      <c r="G6">
        <v>9</v>
      </c>
      <c r="H6" t="str">
        <v>－</v>
      </c>
      <c r="I6" cm="1">
        <f t="array" ref="I6:N6">_xlfn.XLOOKUP(A6,[1]第二次落點分析!$B:$B,[1]第二次落點分析!$C:$H,"")</f>
        <v>8</v>
      </c>
      <c r="J6">
        <v>8</v>
      </c>
      <c r="K6">
        <v>9</v>
      </c>
      <c r="L6" t="str">
        <v>－</v>
      </c>
      <c r="M6">
        <v>9</v>
      </c>
      <c r="N6" t="str">
        <v>－</v>
      </c>
      <c r="O6" cm="1">
        <f t="array" ref="O6:T6">_xlfn.XLOOKUP(A6,'[1]113學測'!$B:$B,'[1]113學測'!$C:$H,"")</f>
        <v>11</v>
      </c>
      <c r="P6">
        <v>7</v>
      </c>
      <c r="Q6">
        <v>11</v>
      </c>
      <c r="R6">
        <v>9</v>
      </c>
      <c r="S6">
        <v>12</v>
      </c>
      <c r="T6">
        <v>0</v>
      </c>
    </row>
    <row r="7" spans="1:20" x14ac:dyDescent="0.25">
      <c r="A7" t="s">
        <v>9</v>
      </c>
      <c r="B7" t="s">
        <v>34</v>
      </c>
      <c r="C7" t="s">
        <v>43</v>
      </c>
      <c r="D7" cm="1">
        <f t="array" ref="D7:H7">_xlfn.XLOOKUP(A7,'[1]第一次落點分析 '!$B:$B,'[1]第一次落點分析 '!$C:$G,"")</f>
        <v>9</v>
      </c>
      <c r="E7">
        <v>14</v>
      </c>
      <c r="F7">
        <v>8</v>
      </c>
      <c r="G7">
        <v>9</v>
      </c>
      <c r="H7">
        <v>12</v>
      </c>
      <c r="I7" cm="1">
        <f t="array" ref="I7:N7">_xlfn.XLOOKUP(A7,[1]第二次落點分析!$B:$B,[1]第二次落點分析!$C:$H,"")</f>
        <v>13</v>
      </c>
      <c r="J7">
        <v>14</v>
      </c>
      <c r="K7">
        <v>8</v>
      </c>
      <c r="L7" t="str">
        <v>－</v>
      </c>
      <c r="M7">
        <v>8</v>
      </c>
      <c r="N7">
        <v>12</v>
      </c>
      <c r="O7" cm="1">
        <f t="array" ref="O7:T7">_xlfn.XLOOKUP(A7,'[1]113學測'!$B:$B,'[1]113學測'!$C:$H,"")</f>
        <v>13</v>
      </c>
      <c r="P7">
        <v>14</v>
      </c>
      <c r="Q7">
        <v>6</v>
      </c>
      <c r="R7">
        <v>10</v>
      </c>
      <c r="S7">
        <v>9</v>
      </c>
      <c r="T7">
        <v>11</v>
      </c>
    </row>
    <row r="8" spans="1:20" x14ac:dyDescent="0.25">
      <c r="A8" t="s">
        <v>10</v>
      </c>
      <c r="B8" t="s">
        <v>33</v>
      </c>
      <c r="C8" t="s">
        <v>43</v>
      </c>
      <c r="D8" cm="1">
        <f t="array" ref="D8:H8">_xlfn.XLOOKUP(A8,'[1]第一次落點分析 '!$B:$B,'[1]第一次落點分析 '!$C:$G,"")</f>
        <v>12</v>
      </c>
      <c r="E8">
        <v>7</v>
      </c>
      <c r="F8">
        <v>12</v>
      </c>
      <c r="G8">
        <v>11</v>
      </c>
      <c r="H8" t="str">
        <v>－</v>
      </c>
      <c r="I8" cm="1">
        <f t="array" ref="I8:N8">_xlfn.XLOOKUP(A8,[1]第二次落點分析!$B:$B,[1]第二次落點分析!$C:$H,"")</f>
        <v>13</v>
      </c>
      <c r="J8">
        <v>10</v>
      </c>
      <c r="K8">
        <v>10</v>
      </c>
      <c r="L8" t="str">
        <v>－</v>
      </c>
      <c r="M8">
        <v>11</v>
      </c>
      <c r="N8" t="str">
        <v>－</v>
      </c>
      <c r="O8" cm="1">
        <f t="array" ref="O8:T8">_xlfn.XLOOKUP(A8,'[1]113學測'!$B:$B,'[1]113學測'!$C:$H,"")</f>
        <v>13</v>
      </c>
      <c r="P8">
        <v>8</v>
      </c>
      <c r="Q8">
        <v>9</v>
      </c>
      <c r="R8">
        <v>11</v>
      </c>
      <c r="S8">
        <v>11</v>
      </c>
      <c r="T8">
        <v>10</v>
      </c>
    </row>
    <row r="9" spans="1:20" x14ac:dyDescent="0.25">
      <c r="A9" t="s">
        <v>11</v>
      </c>
      <c r="B9" t="s">
        <v>35</v>
      </c>
      <c r="C9" t="s">
        <v>42</v>
      </c>
      <c r="D9" cm="1">
        <f t="array" ref="D9:H9">_xlfn.XLOOKUP(A9,'[1]第一次落點分析 '!$B:$B,'[1]第一次落點分析 '!$C:$G,"")</f>
        <v>13</v>
      </c>
      <c r="E9">
        <v>9</v>
      </c>
      <c r="F9">
        <v>5</v>
      </c>
      <c r="G9">
        <v>0</v>
      </c>
      <c r="H9">
        <v>11</v>
      </c>
      <c r="I9" cm="1">
        <f t="array" ref="I9:N9">_xlfn.XLOOKUP(A9,[1]第二次落點分析!$B:$B,[1]第二次落點分析!$C:$H,"")</f>
        <v>11</v>
      </c>
      <c r="J9">
        <v>10</v>
      </c>
      <c r="K9">
        <v>6</v>
      </c>
      <c r="L9">
        <v>7</v>
      </c>
      <c r="M9" t="str">
        <v>－</v>
      </c>
      <c r="N9">
        <v>12</v>
      </c>
      <c r="O9" cm="1">
        <f t="array" ref="O9:T9">_xlfn.XLOOKUP(A9,'[1]113學測'!$B:$B,'[1]113學測'!$C:$H,"")</f>
        <v>11</v>
      </c>
      <c r="P9">
        <v>10</v>
      </c>
      <c r="Q9">
        <v>6</v>
      </c>
      <c r="R9">
        <v>6</v>
      </c>
      <c r="S9">
        <v>0</v>
      </c>
      <c r="T9">
        <v>13</v>
      </c>
    </row>
    <row r="10" spans="1:20" x14ac:dyDescent="0.25">
      <c r="A10" t="s">
        <v>12</v>
      </c>
      <c r="B10" t="s">
        <v>36</v>
      </c>
      <c r="C10" t="s">
        <v>43</v>
      </c>
      <c r="D10" cm="1">
        <f t="array" ref="D10:H10">_xlfn.XLOOKUP(A10,'[1]第一次落點分析 '!$B:$B,'[1]第一次落點分析 '!$C:$G,"")</f>
        <v>13</v>
      </c>
      <c r="E10">
        <v>11</v>
      </c>
      <c r="F10">
        <v>15</v>
      </c>
      <c r="G10">
        <v>14</v>
      </c>
      <c r="H10">
        <v>8</v>
      </c>
      <c r="I10" cm="1">
        <f t="array" ref="I10:N10">_xlfn.XLOOKUP(A10,[1]第二次落點分析!$B:$B,[1]第二次落點分析!$C:$H,"")</f>
        <v>13</v>
      </c>
      <c r="J10">
        <v>13</v>
      </c>
      <c r="K10">
        <v>12</v>
      </c>
      <c r="L10">
        <v>13</v>
      </c>
      <c r="M10">
        <v>14</v>
      </c>
      <c r="N10" t="str">
        <v>－</v>
      </c>
      <c r="O10" cm="1">
        <f t="array" ref="O10:T10">_xlfn.XLOOKUP(A10,'[1]113學測'!$B:$B,'[1]113學測'!$C:$H,"")</f>
        <v>12</v>
      </c>
      <c r="P10">
        <v>12</v>
      </c>
      <c r="Q10">
        <v>13</v>
      </c>
      <c r="R10">
        <v>15</v>
      </c>
      <c r="S10">
        <v>15</v>
      </c>
      <c r="T10">
        <v>10</v>
      </c>
    </row>
    <row r="11" spans="1:20" x14ac:dyDescent="0.25">
      <c r="A11" t="s">
        <v>13</v>
      </c>
      <c r="B11" t="s">
        <v>37</v>
      </c>
      <c r="C11" t="s">
        <v>42</v>
      </c>
      <c r="D11" cm="1">
        <f t="array" ref="D11:H11">_xlfn.XLOOKUP(A11,'[1]第一次落點分析 '!$B:$B,'[1]第一次落點分析 '!$C:$G,"")</f>
        <v>11</v>
      </c>
      <c r="E11">
        <v>12</v>
      </c>
      <c r="F11">
        <v>8</v>
      </c>
      <c r="G11">
        <v>8</v>
      </c>
      <c r="H11">
        <v>13</v>
      </c>
      <c r="I11" cm="1">
        <f t="array" ref="I11:N11">_xlfn.XLOOKUP(A11,[1]第二次落點分析!$B:$B,[1]第二次落點分析!$C:$H,"")</f>
        <v>12</v>
      </c>
      <c r="J11">
        <v>14</v>
      </c>
      <c r="K11">
        <v>6</v>
      </c>
      <c r="L11">
        <v>10</v>
      </c>
      <c r="M11">
        <v>7</v>
      </c>
      <c r="N11">
        <v>14</v>
      </c>
      <c r="O11" cm="1">
        <f t="array" ref="O11:T11">_xlfn.XLOOKUP(A11,'[1]113學測'!$B:$B,'[1]113學測'!$C:$H,"")</f>
        <v>12</v>
      </c>
      <c r="P11">
        <v>13</v>
      </c>
      <c r="Q11">
        <v>6</v>
      </c>
      <c r="R11">
        <v>8</v>
      </c>
      <c r="S11">
        <v>7</v>
      </c>
      <c r="T11">
        <v>12</v>
      </c>
    </row>
    <row r="12" spans="1:20" x14ac:dyDescent="0.25">
      <c r="A12" t="s">
        <v>14</v>
      </c>
      <c r="B12" t="s">
        <v>35</v>
      </c>
      <c r="C12" t="s">
        <v>43</v>
      </c>
      <c r="D12" cm="1">
        <f t="array" ref="D12:H12">_xlfn.XLOOKUP(A12,'[1]第一次落點分析 '!$B:$B,'[1]第一次落點分析 '!$C:$G,"")</f>
        <v>11</v>
      </c>
      <c r="E12">
        <v>9</v>
      </c>
      <c r="F12">
        <v>9</v>
      </c>
      <c r="G12">
        <v>11</v>
      </c>
      <c r="H12" t="str">
        <v>－</v>
      </c>
      <c r="I12" cm="1">
        <f t="array" ref="I12:N12">_xlfn.XLOOKUP(A12,[1]第二次落點分析!$B:$B,[1]第二次落點分析!$C:$H,"")</f>
        <v>12</v>
      </c>
      <c r="J12">
        <v>11</v>
      </c>
      <c r="K12">
        <v>14</v>
      </c>
      <c r="L12">
        <v>12</v>
      </c>
      <c r="M12">
        <v>10</v>
      </c>
      <c r="N12">
        <v>8</v>
      </c>
      <c r="O12" cm="1">
        <f t="array" ref="O12:T12">_xlfn.XLOOKUP(A12,'[1]113學測'!$B:$B,'[1]113學測'!$C:$H,"")</f>
        <v>10</v>
      </c>
      <c r="P12">
        <v>9</v>
      </c>
      <c r="Q12">
        <v>13</v>
      </c>
      <c r="R12">
        <v>12</v>
      </c>
      <c r="S12">
        <v>12</v>
      </c>
      <c r="T12">
        <v>8</v>
      </c>
    </row>
    <row r="13" spans="1:20" x14ac:dyDescent="0.25">
      <c r="A13" t="s">
        <v>15</v>
      </c>
      <c r="B13" t="s">
        <v>38</v>
      </c>
      <c r="C13" t="s">
        <v>43</v>
      </c>
      <c r="D13" cm="1">
        <f t="array" ref="D13:H13">_xlfn.XLOOKUP(A13,'[1]第一次落點分析 '!$B:$B,'[1]第一次落點分析 '!$C:$G,"")</f>
        <v>13</v>
      </c>
      <c r="E13">
        <v>9</v>
      </c>
      <c r="F13">
        <v>11</v>
      </c>
      <c r="G13">
        <v>10</v>
      </c>
      <c r="H13">
        <v>5</v>
      </c>
      <c r="I13" cm="1">
        <f t="array" ref="I13:N13">_xlfn.XLOOKUP(A13,[1]第二次落點分析!$B:$B,[1]第二次落點分析!$C:$H,"")</f>
        <v>10</v>
      </c>
      <c r="J13">
        <v>11</v>
      </c>
      <c r="K13">
        <v>10</v>
      </c>
      <c r="L13" t="str">
        <v>－</v>
      </c>
      <c r="M13">
        <v>8</v>
      </c>
      <c r="N13" t="str">
        <v>－</v>
      </c>
      <c r="O13" cm="1">
        <f t="array" ref="O13:T13">_xlfn.XLOOKUP(A13,'[1]113學測'!$B:$B,'[1]113學測'!$C:$H,"")</f>
        <v>10</v>
      </c>
      <c r="P13">
        <v>10</v>
      </c>
      <c r="Q13">
        <v>12</v>
      </c>
      <c r="R13">
        <v>13</v>
      </c>
      <c r="S13">
        <v>12</v>
      </c>
      <c r="T13">
        <v>10</v>
      </c>
    </row>
    <row r="14" spans="1:20" x14ac:dyDescent="0.25">
      <c r="A14" t="s">
        <v>16</v>
      </c>
      <c r="B14" t="s">
        <v>33</v>
      </c>
      <c r="C14" t="s">
        <v>43</v>
      </c>
      <c r="D14" cm="1">
        <f t="array" ref="D14:H14">_xlfn.XLOOKUP(A14,'[1]第一次落點分析 '!$B:$B,'[1]第一次落點分析 '!$C:$G,"")</f>
        <v>10</v>
      </c>
      <c r="E14">
        <v>8</v>
      </c>
      <c r="F14">
        <v>11</v>
      </c>
      <c r="G14">
        <v>9</v>
      </c>
      <c r="H14" t="str">
        <v>－</v>
      </c>
      <c r="I14" cm="1">
        <f t="array" ref="I14:N14">_xlfn.XLOOKUP(A14,[1]第二次落點分析!$B:$B,[1]第二次落點分析!$C:$H,"")</f>
        <v>10</v>
      </c>
      <c r="J14">
        <v>9</v>
      </c>
      <c r="K14">
        <v>13</v>
      </c>
      <c r="L14" t="str">
        <v>－</v>
      </c>
      <c r="M14">
        <v>11</v>
      </c>
      <c r="N14" t="str">
        <v>－</v>
      </c>
      <c r="O14" cm="1">
        <f t="array" ref="O14:T14">_xlfn.XLOOKUP(A14,'[1]113學測'!$B:$B,'[1]113學測'!$C:$H,"")</f>
        <v>12</v>
      </c>
      <c r="P14">
        <v>10</v>
      </c>
      <c r="Q14">
        <v>14</v>
      </c>
      <c r="R14">
        <v>13</v>
      </c>
      <c r="S14">
        <v>13</v>
      </c>
      <c r="T14">
        <v>8</v>
      </c>
    </row>
    <row r="15" spans="1:20" x14ac:dyDescent="0.25">
      <c r="A15" t="s">
        <v>17</v>
      </c>
      <c r="B15" t="s">
        <v>39</v>
      </c>
      <c r="C15" t="s">
        <v>43</v>
      </c>
      <c r="D15" cm="1">
        <f t="array" ref="D15:H15">_xlfn.XLOOKUP(A15,'[1]第一次落點分析 '!$B:$B,'[1]第一次落點分析 '!$C:$G,"")</f>
        <v>12</v>
      </c>
      <c r="E15">
        <v>8</v>
      </c>
      <c r="F15">
        <v>8</v>
      </c>
      <c r="G15">
        <v>5</v>
      </c>
      <c r="H15" t="str">
        <v>－</v>
      </c>
      <c r="I15" cm="1">
        <f t="array" ref="I15:N15">_xlfn.XLOOKUP(A15,[1]第二次落點分析!$B:$B,[1]第二次落點分析!$C:$H,"")</f>
        <v>11</v>
      </c>
      <c r="J15">
        <v>8</v>
      </c>
      <c r="K15">
        <v>4</v>
      </c>
      <c r="L15">
        <v>9</v>
      </c>
      <c r="M15">
        <v>8</v>
      </c>
      <c r="N15" t="str">
        <v>－</v>
      </c>
      <c r="O15" cm="1">
        <f t="array" ref="O15:T15">_xlfn.XLOOKUP(A15,'[1]113學測'!$B:$B,'[1]113學測'!$C:$H,"")</f>
        <v>12</v>
      </c>
      <c r="P15">
        <v>8</v>
      </c>
      <c r="Q15">
        <v>6</v>
      </c>
      <c r="R15">
        <v>8</v>
      </c>
      <c r="S15">
        <v>9</v>
      </c>
      <c r="T15">
        <v>12</v>
      </c>
    </row>
    <row r="16" spans="1:20" x14ac:dyDescent="0.25">
      <c r="A16" t="s">
        <v>18</v>
      </c>
      <c r="B16" t="s">
        <v>39</v>
      </c>
      <c r="C16" t="s">
        <v>43</v>
      </c>
      <c r="D16" cm="1">
        <f t="array" ref="D16:H16">_xlfn.XLOOKUP(A16,'[1]第一次落點分析 '!$B:$B,'[1]第一次落點分析 '!$C:$G,"")</f>
        <v>8</v>
      </c>
      <c r="E16">
        <v>3</v>
      </c>
      <c r="F16">
        <v>6</v>
      </c>
      <c r="G16">
        <v>6</v>
      </c>
      <c r="H16" t="str">
        <v>－</v>
      </c>
      <c r="I16" cm="1">
        <f t="array" ref="I16:N16">_xlfn.XLOOKUP(A16,[1]第二次落點分析!$B:$B,[1]第二次落點分析!$C:$H,"")</f>
        <v>11</v>
      </c>
      <c r="J16">
        <v>3</v>
      </c>
      <c r="K16">
        <v>5</v>
      </c>
      <c r="L16">
        <v>8</v>
      </c>
      <c r="M16">
        <v>7</v>
      </c>
      <c r="N16" t="str">
        <v>－</v>
      </c>
      <c r="O16" cm="1">
        <f t="array" ref="O16:T16">_xlfn.XLOOKUP(A16,'[1]113學測'!$B:$B,'[1]113學測'!$C:$H,"")</f>
        <v>8</v>
      </c>
      <c r="P16">
        <v>3</v>
      </c>
      <c r="Q16">
        <v>6</v>
      </c>
      <c r="R16">
        <v>3</v>
      </c>
      <c r="S16">
        <v>6</v>
      </c>
      <c r="T16">
        <v>11</v>
      </c>
    </row>
    <row r="17" spans="1:20" x14ac:dyDescent="0.25">
      <c r="A17" t="s">
        <v>19</v>
      </c>
      <c r="B17" t="s">
        <v>32</v>
      </c>
      <c r="C17" t="s">
        <v>42</v>
      </c>
      <c r="D17" cm="1">
        <f t="array" ref="D17:H17">_xlfn.XLOOKUP(A17,'[1]第一次落點分析 '!$B:$B,'[1]第一次落點分析 '!$C:$G,"")</f>
        <v>10</v>
      </c>
      <c r="E17">
        <v>3</v>
      </c>
      <c r="F17">
        <v>5</v>
      </c>
      <c r="G17">
        <v>8</v>
      </c>
      <c r="H17" t="str">
        <v>－</v>
      </c>
      <c r="I17" cm="1">
        <f t="array" ref="I17:N17">_xlfn.XLOOKUP(A17,[1]第二次落點分析!$B:$B,[1]第二次落點分析!$C:$H,"")</f>
        <v>10</v>
      </c>
      <c r="J17">
        <v>5</v>
      </c>
      <c r="K17">
        <v>5</v>
      </c>
      <c r="L17">
        <v>10</v>
      </c>
      <c r="M17">
        <v>8</v>
      </c>
      <c r="N17" t="str">
        <v>－</v>
      </c>
      <c r="O17" cm="1">
        <f t="array" ref="O17:T17">_xlfn.XLOOKUP(A17,'[1]113學測'!$B:$B,'[1]113學測'!$C:$H,"")</f>
        <v>12</v>
      </c>
      <c r="P17">
        <v>6</v>
      </c>
      <c r="Q17">
        <v>6</v>
      </c>
      <c r="R17">
        <v>8</v>
      </c>
      <c r="S17">
        <v>8</v>
      </c>
      <c r="T17">
        <v>10</v>
      </c>
    </row>
    <row r="18" spans="1:20" x14ac:dyDescent="0.25">
      <c r="A18" t="s">
        <v>3</v>
      </c>
      <c r="B18" t="s">
        <v>40</v>
      </c>
      <c r="C18" t="s">
        <v>43</v>
      </c>
      <c r="D18" cm="1">
        <f t="array" ref="D18:H18">_xlfn.XLOOKUP(A18,'[1]第一次落點分析 '!$B:$B,'[1]第一次落點分析 '!$C:$G,"")</f>
        <v>11</v>
      </c>
      <c r="E18">
        <v>5</v>
      </c>
      <c r="F18">
        <v>9</v>
      </c>
      <c r="G18">
        <v>7</v>
      </c>
      <c r="H18">
        <v>7</v>
      </c>
      <c r="I18" cm="1">
        <f t="array" ref="I18:N18">_xlfn.XLOOKUP(A18,[1]第二次落點分析!$B:$B,[1]第二次落點分析!$C:$H,"")</f>
        <v>10</v>
      </c>
      <c r="J18">
        <v>7</v>
      </c>
      <c r="K18">
        <v>7</v>
      </c>
      <c r="L18" t="str">
        <v>－</v>
      </c>
      <c r="M18">
        <v>7</v>
      </c>
      <c r="N18">
        <v>7</v>
      </c>
      <c r="O18" cm="1">
        <f t="array" ref="O18:T18">_xlfn.XLOOKUP(A18,'[1]113學測'!$B:$B,'[1]113學測'!$C:$H,"")</f>
        <v>7</v>
      </c>
      <c r="P18">
        <v>5</v>
      </c>
      <c r="Q18">
        <v>7</v>
      </c>
      <c r="R18">
        <v>5</v>
      </c>
      <c r="S18">
        <v>7</v>
      </c>
      <c r="T18">
        <v>6</v>
      </c>
    </row>
    <row r="19" spans="1:20" x14ac:dyDescent="0.25">
      <c r="A19" t="s">
        <v>20</v>
      </c>
      <c r="B19" t="s">
        <v>39</v>
      </c>
      <c r="C19" t="s">
        <v>42</v>
      </c>
      <c r="D19" cm="1">
        <f t="array" ref="D19:H19">_xlfn.XLOOKUP(A19,'[1]第一次落點分析 '!$B:$B,'[1]第一次落點分析 '!$C:$G,"")</f>
        <v>8</v>
      </c>
      <c r="E19">
        <v>6</v>
      </c>
      <c r="F19">
        <v>2</v>
      </c>
      <c r="G19">
        <v>0</v>
      </c>
      <c r="H19">
        <v>8</v>
      </c>
      <c r="I19" cm="1">
        <f t="array" ref="I19:N19">_xlfn.XLOOKUP(A19,[1]第二次落點分析!$B:$B,[1]第二次落點分析!$C:$H,"")</f>
        <v>11</v>
      </c>
      <c r="J19">
        <v>8</v>
      </c>
      <c r="K19" t="str">
        <v>－</v>
      </c>
      <c r="L19">
        <v>3</v>
      </c>
      <c r="M19" t="str">
        <v>－</v>
      </c>
      <c r="N19">
        <v>8</v>
      </c>
      <c r="O19" cm="1">
        <f t="array" ref="O19:T19">_xlfn.XLOOKUP(A19,'[1]113學測'!$B:$B,'[1]113學測'!$C:$H,"")</f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21</v>
      </c>
      <c r="B20" t="s">
        <v>32</v>
      </c>
      <c r="C20" t="s">
        <v>42</v>
      </c>
      <c r="D20" t="str" cm="1">
        <f t="array" ref="D20">_xlfn.XLOOKUP(A20,'[1]第一次落點分析 '!$B:$B,'[1]第一次落點分析 '!$C:$G,"")</f>
        <v/>
      </c>
      <c r="I20" cm="1">
        <f t="array" ref="I20:N20">_xlfn.XLOOKUP(A20,[1]第二次落點分析!$B:$B,[1]第二次落點分析!$C:$H,"")</f>
        <v>11</v>
      </c>
      <c r="J20">
        <v>3</v>
      </c>
      <c r="K20" t="str">
        <v>－</v>
      </c>
      <c r="L20">
        <v>6</v>
      </c>
      <c r="M20" t="str">
        <v>－</v>
      </c>
      <c r="N20" t="str">
        <v>－</v>
      </c>
      <c r="O20" cm="1">
        <f t="array" ref="O20:T20">_xlfn.XLOOKUP(A20,'[1]113學測'!$B:$B,'[1]113學測'!$C:$H,"")</f>
        <v>8</v>
      </c>
      <c r="P20">
        <v>3</v>
      </c>
      <c r="Q20">
        <v>0</v>
      </c>
      <c r="R20">
        <v>5</v>
      </c>
      <c r="S20">
        <v>4</v>
      </c>
      <c r="T20">
        <v>10</v>
      </c>
    </row>
    <row r="21" spans="1:20" x14ac:dyDescent="0.25">
      <c r="A21" t="s">
        <v>22</v>
      </c>
      <c r="B21" t="s">
        <v>32</v>
      </c>
      <c r="C21" t="s">
        <v>42</v>
      </c>
      <c r="D21" cm="1">
        <f t="array" ref="D21:H21">_xlfn.XLOOKUP(A21,'[1]第一次落點分析 '!$B:$B,'[1]第一次落點分析 '!$C:$G,"")</f>
        <v>9</v>
      </c>
      <c r="E21">
        <v>3</v>
      </c>
      <c r="F21">
        <v>4</v>
      </c>
      <c r="G21">
        <v>0</v>
      </c>
      <c r="H21">
        <v>9</v>
      </c>
      <c r="I21" cm="1">
        <f t="array" ref="I21:N21">_xlfn.XLOOKUP(A21,[1]第二次落點分析!$B:$B,[1]第二次落點分析!$C:$H,"")</f>
        <v>4</v>
      </c>
      <c r="J21">
        <v>3</v>
      </c>
      <c r="K21" t="str">
        <v>－</v>
      </c>
      <c r="L21">
        <v>6</v>
      </c>
      <c r="M21" t="str">
        <v>－</v>
      </c>
      <c r="N21" t="str">
        <v>－</v>
      </c>
      <c r="O21" cm="1">
        <f t="array" ref="O21:T21">_xlfn.XLOOKUP(A21,'[1]113學測'!$B:$B,'[1]113學測'!$C:$H,"")</f>
        <v>10</v>
      </c>
      <c r="P21">
        <v>4</v>
      </c>
      <c r="Q21">
        <v>0</v>
      </c>
      <c r="R21">
        <v>6</v>
      </c>
      <c r="S21">
        <v>6</v>
      </c>
      <c r="T21">
        <v>9</v>
      </c>
    </row>
    <row r="22" spans="1:20" x14ac:dyDescent="0.25">
      <c r="A22" t="s">
        <v>23</v>
      </c>
      <c r="B22" t="s">
        <v>32</v>
      </c>
      <c r="C22" t="s">
        <v>43</v>
      </c>
      <c r="D22" cm="1">
        <f t="array" ref="D22:H22">_xlfn.XLOOKUP(A22,'[1]第一次落點分析 '!$B:$B,'[1]第一次落點分析 '!$C:$G,"")</f>
        <v>10</v>
      </c>
      <c r="E22">
        <v>6</v>
      </c>
      <c r="F22">
        <v>7</v>
      </c>
      <c r="G22">
        <v>9</v>
      </c>
      <c r="H22" t="str">
        <v>－</v>
      </c>
      <c r="I22" cm="1">
        <f t="array" ref="I22:N22">_xlfn.XLOOKUP(A22,[1]第二次落點分析!$B:$B,[1]第二次落點分析!$C:$H,"")</f>
        <v>10</v>
      </c>
      <c r="J22">
        <v>5</v>
      </c>
      <c r="K22">
        <v>6</v>
      </c>
      <c r="L22" t="str">
        <v>－</v>
      </c>
      <c r="M22">
        <v>9</v>
      </c>
      <c r="N22" t="str">
        <v>－</v>
      </c>
      <c r="O22" cm="1">
        <f t="array" ref="O22:T22">_xlfn.XLOOKUP(A22,'[1]113學測'!$B:$B,'[1]113學測'!$C:$H,"")</f>
        <v>9</v>
      </c>
      <c r="P22">
        <v>5</v>
      </c>
      <c r="Q22">
        <v>5</v>
      </c>
      <c r="R22">
        <v>5</v>
      </c>
      <c r="S22">
        <v>8</v>
      </c>
      <c r="T22">
        <v>10</v>
      </c>
    </row>
    <row r="23" spans="1:20" x14ac:dyDescent="0.25">
      <c r="A23" t="s">
        <v>24</v>
      </c>
      <c r="B23" t="s">
        <v>37</v>
      </c>
      <c r="C23" t="s">
        <v>42</v>
      </c>
      <c r="D23" cm="1">
        <f t="array" ref="D23:H23">_xlfn.XLOOKUP(A23,'[1]第一次落點分析 '!$B:$B,'[1]第一次落點分析 '!$C:$G,"")</f>
        <v>11</v>
      </c>
      <c r="E23">
        <v>11</v>
      </c>
      <c r="F23">
        <v>8</v>
      </c>
      <c r="G23" t="str">
        <v>－</v>
      </c>
      <c r="H23">
        <v>12</v>
      </c>
      <c r="I23" cm="1">
        <f t="array" ref="I23:N23">_xlfn.XLOOKUP(A23,[1]第二次落點分析!$B:$B,[1]第二次落點分析!$C:$H,"")</f>
        <v>11</v>
      </c>
      <c r="J23">
        <v>11</v>
      </c>
      <c r="K23">
        <v>7</v>
      </c>
      <c r="L23">
        <v>10</v>
      </c>
      <c r="M23" t="str">
        <v>－</v>
      </c>
      <c r="N23">
        <v>13</v>
      </c>
      <c r="O23" cm="1">
        <f t="array" ref="O23:T23">_xlfn.XLOOKUP(A23,'[1]113學測'!$B:$B,'[1]113學測'!$C:$H,"")</f>
        <v>11</v>
      </c>
      <c r="P23">
        <v>9</v>
      </c>
      <c r="Q23">
        <v>6</v>
      </c>
      <c r="R23">
        <v>7</v>
      </c>
      <c r="S23">
        <v>0</v>
      </c>
      <c r="T23">
        <v>12</v>
      </c>
    </row>
    <row r="24" spans="1:20" x14ac:dyDescent="0.25">
      <c r="A24" t="s">
        <v>25</v>
      </c>
      <c r="B24" t="s">
        <v>41</v>
      </c>
      <c r="C24" t="s">
        <v>42</v>
      </c>
      <c r="D24" cm="1">
        <f t="array" ref="D24:H24">_xlfn.XLOOKUP(A24,'[1]第一次落點分析 '!$B:$B,'[1]第一次落點分析 '!$C:$G,"")</f>
        <v>9</v>
      </c>
      <c r="E24">
        <v>4</v>
      </c>
      <c r="F24">
        <v>6</v>
      </c>
      <c r="G24">
        <v>4</v>
      </c>
      <c r="H24">
        <v>8</v>
      </c>
      <c r="I24" cm="1">
        <f t="array" ref="I24:N24">_xlfn.XLOOKUP(A24,[1]第二次落點分析!$B:$B,[1]第二次落點分析!$C:$H,"")</f>
        <v>12</v>
      </c>
      <c r="J24">
        <v>5</v>
      </c>
      <c r="K24">
        <v>5</v>
      </c>
      <c r="L24">
        <v>9</v>
      </c>
      <c r="M24">
        <v>7</v>
      </c>
      <c r="N24">
        <v>13</v>
      </c>
      <c r="O24" cm="1">
        <f t="array" ref="O24:T24">_xlfn.XLOOKUP(A24,'[1]113學測'!$B:$B,'[1]113學測'!$C:$H,"")</f>
        <v>10</v>
      </c>
      <c r="P24">
        <v>4</v>
      </c>
      <c r="Q24">
        <v>7</v>
      </c>
      <c r="R24">
        <v>8</v>
      </c>
      <c r="S24">
        <v>7</v>
      </c>
      <c r="T24">
        <v>15</v>
      </c>
    </row>
    <row r="25" spans="1:20" x14ac:dyDescent="0.25">
      <c r="A25" t="s">
        <v>59</v>
      </c>
      <c r="B25" t="s">
        <v>35</v>
      </c>
      <c r="C25" t="s">
        <v>42</v>
      </c>
      <c r="D25" cm="1">
        <f t="array" ref="D25:H25">_xlfn.XLOOKUP(A25,'[2]第一次落點分析 '!$B:$B,'[2]第一次落點分析 '!$C:$G,"")</f>
        <v>13</v>
      </c>
      <c r="E25">
        <v>5</v>
      </c>
      <c r="F25">
        <v>5</v>
      </c>
      <c r="G25" t="str">
        <v>－</v>
      </c>
      <c r="H25">
        <v>14</v>
      </c>
      <c r="I25" cm="1">
        <f t="array" ref="I25:N25">_xlfn.XLOOKUP(A25,[2]第二次落點分析!$B:$B,[2]第二次落點分析!$C:$H,"")</f>
        <v>12</v>
      </c>
      <c r="J25">
        <v>3</v>
      </c>
      <c r="K25">
        <v>2</v>
      </c>
      <c r="L25">
        <v>8</v>
      </c>
      <c r="M25" t="str">
        <v>－</v>
      </c>
      <c r="N25">
        <v>11</v>
      </c>
      <c r="O25">
        <v>11</v>
      </c>
      <c r="P25">
        <v>4</v>
      </c>
      <c r="Q25">
        <v>3</v>
      </c>
      <c r="R25">
        <v>6</v>
      </c>
      <c r="S25" t="s">
        <v>96</v>
      </c>
      <c r="T25">
        <v>12</v>
      </c>
    </row>
    <row r="26" spans="1:20" x14ac:dyDescent="0.25">
      <c r="A26" t="s">
        <v>44</v>
      </c>
      <c r="B26" t="s">
        <v>34</v>
      </c>
      <c r="C26" t="s">
        <v>43</v>
      </c>
      <c r="D26" cm="1">
        <f t="array" ref="D26:H26">_xlfn.XLOOKUP(A26,'[2]第一次落點分析 '!$B:$B,'[2]第一次落點分析 '!$C:$G,"")</f>
        <v>9</v>
      </c>
      <c r="E26">
        <v>9</v>
      </c>
      <c r="F26">
        <v>13</v>
      </c>
      <c r="G26">
        <v>9</v>
      </c>
      <c r="H26">
        <v>0</v>
      </c>
      <c r="I26" cm="1">
        <f t="array" ref="I26:N26">_xlfn.XLOOKUP(A26,[2]第二次落點分析!$B:$B,[2]第二次落點分析!$C:$H,"")</f>
        <v>10</v>
      </c>
      <c r="J26">
        <v>9</v>
      </c>
      <c r="K26">
        <v>9</v>
      </c>
      <c r="L26">
        <v>8</v>
      </c>
      <c r="M26">
        <v>8</v>
      </c>
      <c r="N26">
        <v>8</v>
      </c>
      <c r="O26">
        <v>10</v>
      </c>
      <c r="P26">
        <v>9</v>
      </c>
      <c r="Q26">
        <v>6</v>
      </c>
      <c r="R26">
        <v>12</v>
      </c>
      <c r="S26">
        <v>12</v>
      </c>
      <c r="T26">
        <v>10</v>
      </c>
    </row>
    <row r="27" spans="1:20" x14ac:dyDescent="0.25">
      <c r="A27" t="s">
        <v>45</v>
      </c>
      <c r="B27" t="s">
        <v>38</v>
      </c>
      <c r="C27" t="s">
        <v>43</v>
      </c>
      <c r="D27" cm="1">
        <f t="array" ref="D27:H27">_xlfn.XLOOKUP(A27,'[2]第一次落點分析 '!$B:$B,'[2]第一次落點分析 '!$C:$G,"")</f>
        <v>11</v>
      </c>
      <c r="E27">
        <v>9</v>
      </c>
      <c r="F27">
        <v>11</v>
      </c>
      <c r="G27">
        <v>7</v>
      </c>
      <c r="H27">
        <v>9</v>
      </c>
      <c r="I27" cm="1">
        <f t="array" ref="I27:N27">_xlfn.XLOOKUP(A27,[2]第二次落點分析!$B:$B,[2]第二次落點分析!$C:$H,"")</f>
        <v>11</v>
      </c>
      <c r="J27">
        <v>9</v>
      </c>
      <c r="K27">
        <v>10</v>
      </c>
      <c r="L27">
        <v>9</v>
      </c>
      <c r="M27">
        <v>9</v>
      </c>
      <c r="N27">
        <v>8</v>
      </c>
      <c r="O27">
        <v>9</v>
      </c>
      <c r="P27">
        <v>10</v>
      </c>
      <c r="Q27">
        <v>12</v>
      </c>
      <c r="R27">
        <v>13</v>
      </c>
      <c r="S27">
        <v>11</v>
      </c>
      <c r="T27">
        <v>9</v>
      </c>
    </row>
    <row r="28" spans="1:20" x14ac:dyDescent="0.25">
      <c r="A28" t="s">
        <v>46</v>
      </c>
      <c r="B28" t="s">
        <v>97</v>
      </c>
      <c r="C28" t="s">
        <v>43</v>
      </c>
      <c r="D28" cm="1">
        <f t="array" ref="D28:H28">_xlfn.XLOOKUP(A28,'[2]第一次落點分析 '!$B:$B,'[2]第一次落點分析 '!$C:$G,"")</f>
        <v>11</v>
      </c>
      <c r="E28">
        <v>9</v>
      </c>
      <c r="F28">
        <v>10</v>
      </c>
      <c r="G28">
        <v>10</v>
      </c>
      <c r="H28">
        <v>9</v>
      </c>
      <c r="I28" cm="1">
        <f t="array" ref="I28:N28">_xlfn.XLOOKUP(A28,[2]第二次落點分析!$B:$B,[2]第二次落點分析!$C:$H,"")</f>
        <v>12</v>
      </c>
      <c r="J28">
        <v>8</v>
      </c>
      <c r="K28">
        <v>9</v>
      </c>
      <c r="L28">
        <v>4</v>
      </c>
      <c r="M28">
        <v>7</v>
      </c>
      <c r="N28">
        <v>0</v>
      </c>
      <c r="O28">
        <v>11</v>
      </c>
      <c r="P28">
        <v>8</v>
      </c>
      <c r="Q28">
        <v>8</v>
      </c>
      <c r="R28">
        <v>12</v>
      </c>
      <c r="S28">
        <v>11</v>
      </c>
      <c r="T28">
        <v>10</v>
      </c>
    </row>
    <row r="29" spans="1:20" x14ac:dyDescent="0.25">
      <c r="A29" t="s">
        <v>47</v>
      </c>
      <c r="B29" t="s">
        <v>98</v>
      </c>
      <c r="C29" t="s">
        <v>43</v>
      </c>
      <c r="D29" cm="1">
        <f t="array" ref="D29:H29">_xlfn.XLOOKUP(A29,'[2]第一次落點分析 '!$B:$B,'[2]第一次落點分析 '!$C:$G,"")</f>
        <v>12</v>
      </c>
      <c r="E29">
        <v>12</v>
      </c>
      <c r="F29">
        <v>11</v>
      </c>
      <c r="G29">
        <v>10</v>
      </c>
      <c r="H29" t="str">
        <v>－</v>
      </c>
      <c r="I29" cm="1">
        <f t="array" ref="I29:N29">_xlfn.XLOOKUP(A29,[2]第二次落點分析!$B:$B,[2]第二次落點分析!$C:$H,"")</f>
        <v>12</v>
      </c>
      <c r="J29">
        <v>14</v>
      </c>
      <c r="K29">
        <v>10</v>
      </c>
      <c r="L29">
        <v>11</v>
      </c>
      <c r="M29">
        <v>12</v>
      </c>
      <c r="N29" t="str">
        <v>－</v>
      </c>
      <c r="O29">
        <v>11</v>
      </c>
      <c r="P29">
        <v>14</v>
      </c>
      <c r="Q29">
        <v>12</v>
      </c>
      <c r="R29">
        <v>12</v>
      </c>
      <c r="S29">
        <v>13</v>
      </c>
      <c r="T29">
        <v>10</v>
      </c>
    </row>
    <row r="30" spans="1:20" x14ac:dyDescent="0.25">
      <c r="A30" t="s">
        <v>48</v>
      </c>
      <c r="B30" t="s">
        <v>98</v>
      </c>
      <c r="C30" t="s">
        <v>43</v>
      </c>
      <c r="D30" cm="1">
        <f t="array" ref="D30:H30">_xlfn.XLOOKUP(A30,'[2]第一次落點分析 '!$B:$B,'[2]第一次落點分析 '!$C:$G,"")</f>
        <v>9</v>
      </c>
      <c r="E30">
        <v>10</v>
      </c>
      <c r="F30">
        <v>10</v>
      </c>
      <c r="G30">
        <v>10</v>
      </c>
      <c r="H30">
        <v>0</v>
      </c>
      <c r="I30" cm="1">
        <f t="array" ref="I30:N30">_xlfn.XLOOKUP(A30,[2]第二次落點分析!$B:$B,[2]第二次落點分析!$C:$H,"")</f>
        <v>9</v>
      </c>
      <c r="J30">
        <v>9</v>
      </c>
      <c r="K30">
        <v>8</v>
      </c>
      <c r="L30">
        <v>0</v>
      </c>
      <c r="M30">
        <v>11</v>
      </c>
      <c r="N30">
        <v>0</v>
      </c>
      <c r="O30">
        <v>12</v>
      </c>
      <c r="P30">
        <v>10</v>
      </c>
      <c r="Q30">
        <v>6</v>
      </c>
      <c r="R30">
        <v>6</v>
      </c>
      <c r="S30">
        <v>9</v>
      </c>
      <c r="T30" t="s">
        <v>96</v>
      </c>
    </row>
    <row r="31" spans="1:20" x14ac:dyDescent="0.25">
      <c r="A31" t="s">
        <v>49</v>
      </c>
      <c r="B31" t="s">
        <v>36</v>
      </c>
      <c r="C31" t="s">
        <v>43</v>
      </c>
      <c r="D31" cm="1">
        <f t="array" ref="D31:H31">_xlfn.XLOOKUP(A31,'[2]第一次落點分析 '!$B:$B,'[2]第一次落點分析 '!$C:$G,"")</f>
        <v>15</v>
      </c>
      <c r="E31">
        <v>10</v>
      </c>
      <c r="F31">
        <v>10</v>
      </c>
      <c r="G31">
        <v>12</v>
      </c>
      <c r="H31">
        <v>13</v>
      </c>
      <c r="I31" cm="1">
        <f t="array" ref="I31:N31">_xlfn.XLOOKUP(A31,[2]第二次落點分析!$B:$B,[2]第二次落點分析!$C:$H,"")</f>
        <v>12</v>
      </c>
      <c r="J31">
        <v>11</v>
      </c>
      <c r="K31">
        <v>10</v>
      </c>
      <c r="L31">
        <v>7</v>
      </c>
      <c r="M31">
        <v>11</v>
      </c>
      <c r="N31">
        <v>13</v>
      </c>
      <c r="O31">
        <v>13</v>
      </c>
      <c r="P31">
        <v>11</v>
      </c>
      <c r="Q31">
        <v>9</v>
      </c>
      <c r="R31">
        <v>10</v>
      </c>
      <c r="S31">
        <v>11</v>
      </c>
      <c r="T31">
        <v>12</v>
      </c>
    </row>
    <row r="32" spans="1:20" x14ac:dyDescent="0.25">
      <c r="A32" t="s">
        <v>50</v>
      </c>
      <c r="B32" t="s">
        <v>35</v>
      </c>
      <c r="C32" t="s">
        <v>42</v>
      </c>
      <c r="D32" cm="1">
        <f t="array" ref="D32:H32">_xlfn.XLOOKUP(A32,'[2]第一次落點分析 '!$B:$B,'[2]第一次落點分析 '!$C:$G,"")</f>
        <v>10</v>
      </c>
      <c r="E32">
        <v>4</v>
      </c>
      <c r="F32">
        <v>9</v>
      </c>
      <c r="G32">
        <v>9</v>
      </c>
      <c r="H32">
        <v>10</v>
      </c>
      <c r="I32" cm="1">
        <f t="array" ref="I32:N32">_xlfn.XLOOKUP(A32,[2]第二次落點分析!$B:$B,[2]第二次落點分析!$C:$H,"")</f>
        <v>10</v>
      </c>
      <c r="J32">
        <v>5</v>
      </c>
      <c r="K32">
        <v>6</v>
      </c>
      <c r="L32">
        <v>0</v>
      </c>
      <c r="M32">
        <v>6</v>
      </c>
      <c r="N32">
        <v>8</v>
      </c>
      <c r="O32">
        <v>7</v>
      </c>
      <c r="P32">
        <v>5</v>
      </c>
      <c r="Q32">
        <v>3</v>
      </c>
      <c r="R32">
        <v>5</v>
      </c>
      <c r="S32">
        <v>8</v>
      </c>
      <c r="T32">
        <v>11</v>
      </c>
    </row>
    <row r="33" spans="1:20" x14ac:dyDescent="0.25">
      <c r="A33" t="s">
        <v>51</v>
      </c>
      <c r="B33" t="s">
        <v>99</v>
      </c>
      <c r="C33" t="s">
        <v>43</v>
      </c>
      <c r="D33" cm="1">
        <f t="array" ref="D33:H33">_xlfn.XLOOKUP(A33,'[2]第一次落點分析 '!$B:$B,'[2]第一次落點分析 '!$C:$G,"")</f>
        <v>9</v>
      </c>
      <c r="E33">
        <v>6</v>
      </c>
      <c r="F33">
        <v>8</v>
      </c>
      <c r="G33">
        <v>8</v>
      </c>
      <c r="H33">
        <v>0</v>
      </c>
      <c r="I33" cm="1">
        <f t="array" ref="I33:N33">_xlfn.XLOOKUP(A33,[2]第二次落點分析!$B:$B,[2]第二次落點分析!$C:$H,"")</f>
        <v>8</v>
      </c>
      <c r="J33">
        <v>7</v>
      </c>
      <c r="K33">
        <v>10</v>
      </c>
      <c r="L33">
        <v>10</v>
      </c>
      <c r="M33">
        <v>10</v>
      </c>
      <c r="N33">
        <v>0</v>
      </c>
      <c r="O33">
        <v>8</v>
      </c>
      <c r="P33">
        <v>5</v>
      </c>
      <c r="Q33">
        <v>6</v>
      </c>
      <c r="R33" t="s">
        <v>96</v>
      </c>
      <c r="S33">
        <v>8</v>
      </c>
      <c r="T33" t="s">
        <v>96</v>
      </c>
    </row>
    <row r="34" spans="1:20" x14ac:dyDescent="0.25">
      <c r="A34" t="s">
        <v>52</v>
      </c>
      <c r="B34" t="s">
        <v>35</v>
      </c>
      <c r="C34" t="s">
        <v>43</v>
      </c>
      <c r="D34" cm="1">
        <f t="array" ref="D34:H34">_xlfn.XLOOKUP(A34,'[2]第一次落點分析 '!$B:$B,'[2]第一次落點分析 '!$C:$G,"")</f>
        <v>11</v>
      </c>
      <c r="E34">
        <v>8</v>
      </c>
      <c r="F34">
        <v>8</v>
      </c>
      <c r="G34">
        <v>6</v>
      </c>
      <c r="H34">
        <v>0</v>
      </c>
      <c r="I34" cm="1">
        <f t="array" ref="I34:N34">_xlfn.XLOOKUP(A34,[2]第二次落點分析!$B:$B,[2]第二次落點分析!$C:$H,"")</f>
        <v>12</v>
      </c>
      <c r="J34">
        <v>7</v>
      </c>
      <c r="K34">
        <v>9</v>
      </c>
      <c r="L34">
        <v>0</v>
      </c>
      <c r="M34">
        <v>9</v>
      </c>
      <c r="N34">
        <v>0</v>
      </c>
      <c r="O34">
        <v>11</v>
      </c>
      <c r="P34">
        <v>10</v>
      </c>
      <c r="Q34">
        <v>11</v>
      </c>
      <c r="R34">
        <v>13</v>
      </c>
      <c r="S34">
        <v>10</v>
      </c>
      <c r="T34">
        <v>12</v>
      </c>
    </row>
    <row r="35" spans="1:20" x14ac:dyDescent="0.25">
      <c r="A35" t="s">
        <v>53</v>
      </c>
      <c r="B35" t="s">
        <v>35</v>
      </c>
      <c r="C35" t="s">
        <v>43</v>
      </c>
      <c r="D35" cm="1">
        <f t="array" ref="D35:H35">_xlfn.XLOOKUP(A35,'[2]第一次落點分析 '!$B:$B,'[2]第一次落點分析 '!$C:$G,"")</f>
        <v>11</v>
      </c>
      <c r="E35">
        <v>7</v>
      </c>
      <c r="F35">
        <v>10</v>
      </c>
      <c r="G35">
        <v>8</v>
      </c>
      <c r="H35">
        <v>9</v>
      </c>
      <c r="I35" cm="1">
        <f t="array" ref="I35:N35">_xlfn.XLOOKUP(A35,[2]第二次落點分析!$B:$B,[2]第二次落點分析!$C:$H,"")</f>
        <v>10</v>
      </c>
      <c r="J35">
        <v>5</v>
      </c>
      <c r="K35">
        <v>10</v>
      </c>
      <c r="L35">
        <v>7</v>
      </c>
      <c r="M35">
        <v>10</v>
      </c>
      <c r="N35">
        <v>0</v>
      </c>
      <c r="O35">
        <v>10</v>
      </c>
      <c r="P35">
        <v>5</v>
      </c>
      <c r="Q35">
        <v>11</v>
      </c>
      <c r="R35">
        <v>9</v>
      </c>
      <c r="S35">
        <v>14</v>
      </c>
      <c r="T35">
        <v>8</v>
      </c>
    </row>
    <row r="36" spans="1:20" x14ac:dyDescent="0.25">
      <c r="A36" t="s">
        <v>54</v>
      </c>
      <c r="B36" t="s">
        <v>32</v>
      </c>
      <c r="C36" t="s">
        <v>42</v>
      </c>
      <c r="D36" cm="1">
        <f t="array" ref="D36:H36">_xlfn.XLOOKUP(A36,'[2]第一次落點分析 '!$B:$B,'[2]第一次落點分析 '!$C:$G,"")</f>
        <v>13</v>
      </c>
      <c r="E36">
        <v>9</v>
      </c>
      <c r="F36">
        <v>7</v>
      </c>
      <c r="G36">
        <v>0</v>
      </c>
      <c r="H36">
        <v>12</v>
      </c>
      <c r="I36" cm="1">
        <f t="array" ref="I36:N36">_xlfn.XLOOKUP(A36,[2]第二次落點分析!$B:$B,[2]第二次落點分析!$C:$H,"")</f>
        <v>11</v>
      </c>
      <c r="J36">
        <v>11</v>
      </c>
      <c r="K36">
        <v>4</v>
      </c>
      <c r="L36">
        <v>7</v>
      </c>
      <c r="M36">
        <v>0</v>
      </c>
      <c r="N36">
        <v>12</v>
      </c>
      <c r="O36">
        <v>10</v>
      </c>
      <c r="P36">
        <v>9</v>
      </c>
      <c r="Q36">
        <v>6</v>
      </c>
      <c r="R36">
        <v>6</v>
      </c>
      <c r="S36" t="s">
        <v>96</v>
      </c>
      <c r="T36">
        <v>13</v>
      </c>
    </row>
    <row r="37" spans="1:20" x14ac:dyDescent="0.25">
      <c r="A37" t="s">
        <v>55</v>
      </c>
      <c r="B37" t="s">
        <v>100</v>
      </c>
      <c r="C37" t="s">
        <v>43</v>
      </c>
      <c r="D37" cm="1">
        <f t="array" ref="D37:H37">_xlfn.XLOOKUP(A37,'[2]第一次落點分析 '!$B:$B,'[2]第一次落點分析 '!$C:$G,"")</f>
        <v>13</v>
      </c>
      <c r="E37">
        <v>14</v>
      </c>
      <c r="F37">
        <v>14</v>
      </c>
      <c r="G37">
        <v>8</v>
      </c>
      <c r="H37" t="str">
        <v>－</v>
      </c>
      <c r="I37" cm="1">
        <f t="array" ref="I37:N37">_xlfn.XLOOKUP(A37,[2]第二次落點分析!$B:$B,[2]第二次落點分析!$C:$H,"")</f>
        <v>11</v>
      </c>
      <c r="J37">
        <v>14</v>
      </c>
      <c r="K37">
        <v>10</v>
      </c>
      <c r="L37">
        <v>9</v>
      </c>
      <c r="M37">
        <v>8</v>
      </c>
      <c r="N37" t="str">
        <v>－</v>
      </c>
      <c r="O37">
        <v>12</v>
      </c>
      <c r="P37">
        <v>15</v>
      </c>
      <c r="Q37">
        <v>8</v>
      </c>
      <c r="R37">
        <v>11</v>
      </c>
      <c r="S37">
        <v>11</v>
      </c>
      <c r="T37">
        <v>14</v>
      </c>
    </row>
    <row r="38" spans="1:20" x14ac:dyDescent="0.25">
      <c r="A38" t="s">
        <v>56</v>
      </c>
      <c r="B38" t="s">
        <v>33</v>
      </c>
      <c r="C38" t="s">
        <v>43</v>
      </c>
      <c r="D38" cm="1">
        <f t="array" ref="D38:H38">_xlfn.XLOOKUP(A38,'[2]第一次落點分析 '!$B:$B,'[2]第一次落點分析 '!$C:$G,"")</f>
        <v>13</v>
      </c>
      <c r="E38">
        <v>8</v>
      </c>
      <c r="F38">
        <v>10</v>
      </c>
      <c r="G38">
        <v>11</v>
      </c>
      <c r="H38" t="str">
        <v>－</v>
      </c>
      <c r="I38" cm="1">
        <f t="array" ref="I38:N38">_xlfn.XLOOKUP(A38,[2]第二次落點分析!$B:$B,[2]第二次落點分析!$C:$H,"")</f>
        <v>9</v>
      </c>
      <c r="J38">
        <v>8</v>
      </c>
      <c r="K38">
        <v>5</v>
      </c>
      <c r="L38">
        <v>7</v>
      </c>
      <c r="M38">
        <v>10</v>
      </c>
      <c r="N38">
        <v>13</v>
      </c>
      <c r="O38">
        <v>13</v>
      </c>
      <c r="P38">
        <v>8</v>
      </c>
      <c r="Q38">
        <v>8</v>
      </c>
      <c r="R38">
        <v>11</v>
      </c>
      <c r="S38">
        <v>12</v>
      </c>
      <c r="T38">
        <v>14</v>
      </c>
    </row>
    <row r="39" spans="1:20" x14ac:dyDescent="0.25">
      <c r="A39" t="s">
        <v>57</v>
      </c>
      <c r="B39" t="s">
        <v>35</v>
      </c>
      <c r="C39" t="s">
        <v>43</v>
      </c>
      <c r="D39" cm="1">
        <f t="array" ref="D39:H39">_xlfn.XLOOKUP(A39,'[2]第一次落點分析 '!$B:$B,'[2]第一次落點分析 '!$C:$G,"")</f>
        <v>8</v>
      </c>
      <c r="E39">
        <v>10</v>
      </c>
      <c r="F39">
        <v>5</v>
      </c>
      <c r="G39">
        <v>7</v>
      </c>
      <c r="H39">
        <v>9</v>
      </c>
      <c r="I39" cm="1">
        <f t="array" ref="I39:N39">_xlfn.XLOOKUP(A39,[2]第二次落點分析!$B:$B,[2]第二次落點分析!$C:$H,"")</f>
        <v>8</v>
      </c>
      <c r="J39">
        <v>8</v>
      </c>
      <c r="K39">
        <v>4</v>
      </c>
      <c r="L39">
        <v>4</v>
      </c>
      <c r="M39">
        <v>6</v>
      </c>
      <c r="N39">
        <v>8</v>
      </c>
    </row>
    <row r="40" spans="1:20" x14ac:dyDescent="0.25">
      <c r="A40" t="s">
        <v>58</v>
      </c>
      <c r="B40" t="s">
        <v>101</v>
      </c>
      <c r="C40" t="s">
        <v>43</v>
      </c>
      <c r="D40" cm="1">
        <f t="array" ref="D40:H40">_xlfn.XLOOKUP(A40,'[2]第一次落點分析 '!$B:$B,'[2]第一次落點分析 '!$C:$G,"")</f>
        <v>5</v>
      </c>
      <c r="E40">
        <v>12</v>
      </c>
      <c r="F40">
        <v>9</v>
      </c>
      <c r="G40">
        <v>9</v>
      </c>
      <c r="H40">
        <v>9</v>
      </c>
      <c r="I40" cm="1">
        <f t="array" ref="I40:N40">_xlfn.XLOOKUP(A40,[2]第二次落點分析!$B:$B,[2]第二次落點分析!$C:$H,"")</f>
        <v>12</v>
      </c>
      <c r="J40">
        <v>8</v>
      </c>
      <c r="K40">
        <v>4</v>
      </c>
      <c r="L40">
        <v>5</v>
      </c>
      <c r="M40">
        <v>7</v>
      </c>
      <c r="N40">
        <v>11</v>
      </c>
      <c r="O40">
        <v>12</v>
      </c>
      <c r="P40">
        <v>9</v>
      </c>
      <c r="Q40">
        <v>6</v>
      </c>
      <c r="R40">
        <v>9</v>
      </c>
      <c r="S40">
        <v>8</v>
      </c>
      <c r="T40">
        <v>11</v>
      </c>
    </row>
    <row r="41" spans="1:20" x14ac:dyDescent="0.25">
      <c r="A41" t="s">
        <v>60</v>
      </c>
      <c r="B41" t="s">
        <v>39</v>
      </c>
      <c r="C41" t="s">
        <v>43</v>
      </c>
      <c r="D41" cm="1">
        <f t="array" ref="D41:H41">_xlfn.XLOOKUP(A41,'[3]第一次落點分析 '!$B:$B,'[3]第一次落點分析 '!$C:$G,"")</f>
        <v>9</v>
      </c>
      <c r="E41">
        <v>8</v>
      </c>
      <c r="F41">
        <v>2</v>
      </c>
      <c r="G41">
        <v>6</v>
      </c>
      <c r="H41">
        <v>7</v>
      </c>
      <c r="I41" cm="1">
        <f t="array" ref="I41:N41">_xlfn.XLOOKUP(A41,[3]第二次落點分析!$B:$B,[3]第二次落點分析!$C:$H,"")</f>
        <v>10</v>
      </c>
      <c r="J41">
        <v>5</v>
      </c>
      <c r="K41">
        <v>5</v>
      </c>
      <c r="L41">
        <v>4</v>
      </c>
      <c r="M41">
        <v>6</v>
      </c>
      <c r="N41">
        <v>6</v>
      </c>
      <c r="O41">
        <v>8</v>
      </c>
      <c r="P41">
        <v>8</v>
      </c>
      <c r="Q41">
        <v>2</v>
      </c>
      <c r="R41">
        <v>5</v>
      </c>
      <c r="S41">
        <v>8</v>
      </c>
      <c r="T41">
        <v>7</v>
      </c>
    </row>
    <row r="42" spans="1:20" x14ac:dyDescent="0.25">
      <c r="A42" t="s">
        <v>61</v>
      </c>
      <c r="B42" t="s">
        <v>39</v>
      </c>
      <c r="C42" t="s">
        <v>43</v>
      </c>
      <c r="D42" cm="1">
        <f t="array" ref="D42:H42">_xlfn.XLOOKUP(A42,'[3]第一次落點分析 '!$B:$B,'[3]第一次落點分析 '!$C:$G,"")</f>
        <v>9</v>
      </c>
      <c r="E42">
        <v>3</v>
      </c>
      <c r="F42">
        <v>8</v>
      </c>
      <c r="G42">
        <v>7</v>
      </c>
      <c r="H42">
        <v>0</v>
      </c>
      <c r="I42" cm="1">
        <f t="array" ref="I42:N42">_xlfn.XLOOKUP(A42,[3]第二次落點分析!$B:$B,[3]第二次落點分析!$C:$H,"")</f>
        <v>5</v>
      </c>
      <c r="J42">
        <v>5</v>
      </c>
      <c r="K42">
        <v>6</v>
      </c>
      <c r="L42">
        <v>7</v>
      </c>
      <c r="M42">
        <v>7</v>
      </c>
      <c r="N42">
        <v>0</v>
      </c>
      <c r="O42">
        <v>8</v>
      </c>
      <c r="P42">
        <v>4</v>
      </c>
      <c r="Q42">
        <v>7</v>
      </c>
      <c r="R42">
        <v>8</v>
      </c>
      <c r="S42">
        <v>7</v>
      </c>
      <c r="T42">
        <v>9</v>
      </c>
    </row>
    <row r="43" spans="1:20" x14ac:dyDescent="0.25">
      <c r="A43" t="s">
        <v>62</v>
      </c>
      <c r="B43" t="s">
        <v>97</v>
      </c>
      <c r="C43" t="s">
        <v>43</v>
      </c>
      <c r="D43" cm="1">
        <f t="array" ref="D43:H43">_xlfn.XLOOKUP(A43,'[3]第一次落點分析 '!$B:$B,'[3]第一次落點分析 '!$C:$G,"")</f>
        <v>9</v>
      </c>
      <c r="E43">
        <v>12</v>
      </c>
      <c r="F43">
        <v>11</v>
      </c>
      <c r="G43">
        <v>12</v>
      </c>
      <c r="H43">
        <v>0</v>
      </c>
      <c r="I43" cm="1">
        <f t="array" ref="I43:N43">_xlfn.XLOOKUP(A43,[3]第二次落點分析!$B:$B,[3]第二次落點分析!$C:$H,"")</f>
        <v>11</v>
      </c>
      <c r="J43">
        <v>10</v>
      </c>
      <c r="K43">
        <v>10</v>
      </c>
      <c r="L43">
        <v>0</v>
      </c>
      <c r="M43">
        <v>10</v>
      </c>
      <c r="N43">
        <v>9</v>
      </c>
      <c r="O43">
        <v>9</v>
      </c>
      <c r="P43">
        <v>13</v>
      </c>
      <c r="Q43">
        <v>11</v>
      </c>
      <c r="T43">
        <v>14</v>
      </c>
    </row>
    <row r="44" spans="1:20" x14ac:dyDescent="0.25">
      <c r="A44" t="s">
        <v>75</v>
      </c>
      <c r="B44" t="s">
        <v>102</v>
      </c>
      <c r="C44" t="s">
        <v>43</v>
      </c>
      <c r="D44" cm="1">
        <f t="array" ref="D44:H44">_xlfn.XLOOKUP(A44,'[3]第一次落點分析 '!$B:$B,'[3]第一次落點分析 '!$C:$G,"")</f>
        <v>12</v>
      </c>
      <c r="E44">
        <v>13</v>
      </c>
      <c r="F44">
        <v>9</v>
      </c>
      <c r="G44">
        <v>12</v>
      </c>
      <c r="H44">
        <v>0</v>
      </c>
      <c r="I44" cm="1">
        <f t="array" ref="I44:N44">_xlfn.XLOOKUP(A44,[3]第二次落點分析!$B:$B,[3]第二次落點分析!$C:$H,"")</f>
        <v>12</v>
      </c>
      <c r="J44">
        <v>13</v>
      </c>
      <c r="K44">
        <v>8</v>
      </c>
      <c r="L44">
        <v>15</v>
      </c>
      <c r="M44">
        <v>12</v>
      </c>
      <c r="N44">
        <v>0</v>
      </c>
      <c r="O44">
        <v>12</v>
      </c>
      <c r="P44">
        <v>14</v>
      </c>
      <c r="Q44">
        <v>11</v>
      </c>
      <c r="R44">
        <v>11</v>
      </c>
      <c r="S44">
        <v>10</v>
      </c>
      <c r="T44">
        <v>13</v>
      </c>
    </row>
    <row r="45" spans="1:20" x14ac:dyDescent="0.25">
      <c r="A45" t="s">
        <v>63</v>
      </c>
      <c r="B45" t="s">
        <v>103</v>
      </c>
      <c r="C45" t="s">
        <v>43</v>
      </c>
      <c r="D45" cm="1">
        <f t="array" ref="D45:H45">_xlfn.XLOOKUP(A45,'[3]第一次落點分析 '!$B:$B,'[3]第一次落點分析 '!$C:$G,"")</f>
        <v>11</v>
      </c>
      <c r="E45">
        <v>9</v>
      </c>
      <c r="F45">
        <v>14</v>
      </c>
      <c r="G45">
        <v>12</v>
      </c>
      <c r="H45">
        <v>10</v>
      </c>
      <c r="I45" cm="1">
        <f t="array" ref="I45:N45">_xlfn.XLOOKUP(A45,[3]第二次落點分析!$B:$B,[3]第二次落點分析!$C:$H,"")</f>
        <v>12</v>
      </c>
      <c r="J45">
        <v>9</v>
      </c>
      <c r="K45">
        <v>10</v>
      </c>
      <c r="L45">
        <v>0</v>
      </c>
      <c r="M45">
        <v>12</v>
      </c>
      <c r="N45">
        <v>11</v>
      </c>
      <c r="O45">
        <v>12</v>
      </c>
      <c r="P45">
        <v>7</v>
      </c>
      <c r="Q45">
        <v>13</v>
      </c>
      <c r="R45">
        <v>12</v>
      </c>
      <c r="S45">
        <v>12</v>
      </c>
      <c r="T45">
        <v>12</v>
      </c>
    </row>
    <row r="46" spans="1:20" x14ac:dyDescent="0.25">
      <c r="A46" t="s">
        <v>76</v>
      </c>
      <c r="B46" t="s">
        <v>38</v>
      </c>
      <c r="C46" t="s">
        <v>43</v>
      </c>
      <c r="D46" cm="1">
        <f t="array" ref="D46:H46">_xlfn.XLOOKUP(A46,'[3]第一次落點分析 '!$B:$B,'[3]第一次落點分析 '!$C:$G,"")</f>
        <v>10</v>
      </c>
      <c r="E46">
        <v>8</v>
      </c>
      <c r="F46">
        <v>6</v>
      </c>
      <c r="G46">
        <v>7</v>
      </c>
      <c r="H46">
        <v>7</v>
      </c>
      <c r="I46" cm="1">
        <f t="array" ref="I46:N46">_xlfn.XLOOKUP(A46,[3]第二次落點分析!$B:$B,[3]第二次落點分析!$C:$H,"")</f>
        <v>10</v>
      </c>
      <c r="J46">
        <v>8</v>
      </c>
      <c r="K46">
        <v>6</v>
      </c>
      <c r="L46">
        <v>9</v>
      </c>
      <c r="M46">
        <v>9</v>
      </c>
      <c r="N46">
        <v>0</v>
      </c>
      <c r="O46">
        <v>12</v>
      </c>
      <c r="P46">
        <v>8</v>
      </c>
      <c r="Q46">
        <v>8</v>
      </c>
      <c r="R46">
        <v>8</v>
      </c>
      <c r="S46">
        <v>10</v>
      </c>
      <c r="T46">
        <v>9</v>
      </c>
    </row>
    <row r="47" spans="1:20" x14ac:dyDescent="0.25">
      <c r="A47" t="s">
        <v>64</v>
      </c>
      <c r="B47" t="s">
        <v>104</v>
      </c>
      <c r="C47" t="s">
        <v>43</v>
      </c>
      <c r="D47" cm="1">
        <f t="array" ref="D47:H47">_xlfn.XLOOKUP(A47,'[3]第一次落點分析 '!$B:$B,'[3]第一次落點分析 '!$C:$G,"")</f>
        <v>14</v>
      </c>
      <c r="E47">
        <v>13</v>
      </c>
      <c r="F47">
        <v>10</v>
      </c>
      <c r="G47">
        <v>12</v>
      </c>
      <c r="H47">
        <v>14</v>
      </c>
      <c r="I47" cm="1">
        <f t="array" ref="I47:N47">_xlfn.XLOOKUP(A47,[3]第二次落點分析!$B:$B,[3]第二次落點分析!$C:$H,"")</f>
        <v>15</v>
      </c>
      <c r="J47">
        <v>13</v>
      </c>
      <c r="K47">
        <v>8</v>
      </c>
      <c r="L47">
        <v>0</v>
      </c>
      <c r="M47">
        <v>12</v>
      </c>
      <c r="N47">
        <v>12</v>
      </c>
      <c r="O47">
        <v>13</v>
      </c>
      <c r="P47">
        <v>12</v>
      </c>
      <c r="Q47">
        <v>9</v>
      </c>
      <c r="R47">
        <v>8</v>
      </c>
      <c r="S47">
        <v>13</v>
      </c>
      <c r="T47">
        <v>13</v>
      </c>
    </row>
    <row r="48" spans="1:20" x14ac:dyDescent="0.25">
      <c r="A48" t="s">
        <v>65</v>
      </c>
      <c r="B48" t="s">
        <v>105</v>
      </c>
      <c r="C48" t="s">
        <v>42</v>
      </c>
      <c r="D48" cm="1">
        <f t="array" ref="D48:H48">_xlfn.XLOOKUP(A48,'[3]第一次落點分析 '!$B:$B,'[3]第一次落點分析 '!$C:$G,"")</f>
        <v>15</v>
      </c>
      <c r="E48">
        <v>8</v>
      </c>
      <c r="F48">
        <v>8</v>
      </c>
      <c r="G48">
        <v>0</v>
      </c>
      <c r="H48">
        <v>14</v>
      </c>
      <c r="I48" cm="1">
        <f t="array" ref="I48:N48">_xlfn.XLOOKUP(A48,[3]第二次落點分析!$B:$B,[3]第二次落點分析!$C:$H,"")</f>
        <v>13</v>
      </c>
      <c r="J48">
        <v>13</v>
      </c>
      <c r="K48">
        <v>3</v>
      </c>
      <c r="L48">
        <v>4</v>
      </c>
      <c r="M48">
        <v>0</v>
      </c>
      <c r="N48">
        <v>12</v>
      </c>
      <c r="O48">
        <v>13</v>
      </c>
      <c r="P48">
        <v>12</v>
      </c>
      <c r="Q48">
        <v>5</v>
      </c>
      <c r="R48">
        <v>6</v>
      </c>
      <c r="S48">
        <v>11</v>
      </c>
    </row>
    <row r="49" spans="1:20" x14ac:dyDescent="0.25">
      <c r="A49" t="s">
        <v>66</v>
      </c>
      <c r="B49" t="s">
        <v>106</v>
      </c>
      <c r="C49" t="s">
        <v>43</v>
      </c>
      <c r="D49" cm="1">
        <f t="array" ref="D49:H49">_xlfn.XLOOKUP(A49,'[3]第一次落點分析 '!$B:$B,'[3]第一次落點分析 '!$C:$G,"")</f>
        <v>10</v>
      </c>
      <c r="E49">
        <v>11</v>
      </c>
      <c r="F49">
        <v>6</v>
      </c>
      <c r="G49">
        <v>7</v>
      </c>
      <c r="H49">
        <v>9</v>
      </c>
      <c r="I49" cm="1">
        <f t="array" ref="I49:N49">_xlfn.XLOOKUP(A49,[3]第二次落點分析!$B:$B,[3]第二次落點分析!$C:$H,"")</f>
        <v>10</v>
      </c>
      <c r="J49">
        <v>12</v>
      </c>
      <c r="K49">
        <v>4</v>
      </c>
      <c r="L49">
        <v>0</v>
      </c>
      <c r="M49">
        <v>7</v>
      </c>
      <c r="N49">
        <v>0</v>
      </c>
      <c r="O49">
        <v>11</v>
      </c>
      <c r="P49">
        <v>11</v>
      </c>
      <c r="Q49">
        <v>6</v>
      </c>
      <c r="T49">
        <v>8</v>
      </c>
    </row>
    <row r="50" spans="1:20" x14ac:dyDescent="0.25">
      <c r="A50" t="s">
        <v>67</v>
      </c>
      <c r="B50" t="s">
        <v>35</v>
      </c>
      <c r="C50" t="s">
        <v>43</v>
      </c>
      <c r="D50" cm="1">
        <f t="array" ref="D50:H50">_xlfn.XLOOKUP(A50,'[3]第一次落點分析 '!$B:$B,'[3]第一次落點分析 '!$C:$G,"")</f>
        <v>12</v>
      </c>
      <c r="E50">
        <v>4</v>
      </c>
      <c r="F50">
        <v>5</v>
      </c>
      <c r="G50">
        <v>6</v>
      </c>
      <c r="H50">
        <v>9</v>
      </c>
      <c r="I50" cm="1">
        <f t="array" ref="I50:N50">_xlfn.XLOOKUP(A50,[3]第二次落點分析!$B:$B,[3]第二次落點分析!$C:$H,"")</f>
        <v>9</v>
      </c>
      <c r="J50">
        <v>4</v>
      </c>
      <c r="K50">
        <v>6</v>
      </c>
      <c r="L50">
        <v>0</v>
      </c>
      <c r="M50">
        <v>8</v>
      </c>
      <c r="N50">
        <v>10</v>
      </c>
      <c r="O50">
        <v>12</v>
      </c>
      <c r="P50">
        <v>4</v>
      </c>
      <c r="Q50">
        <v>7</v>
      </c>
      <c r="S50">
        <v>9</v>
      </c>
      <c r="T50">
        <v>11</v>
      </c>
    </row>
    <row r="51" spans="1:20" x14ac:dyDescent="0.25">
      <c r="A51" t="s">
        <v>77</v>
      </c>
      <c r="B51" t="s">
        <v>37</v>
      </c>
      <c r="C51" t="s">
        <v>42</v>
      </c>
      <c r="D51" cm="1">
        <f t="array" ref="D51:H51">_xlfn.XLOOKUP(A51,'[3]第一次落點分析 '!$B:$B,'[3]第一次落點分析 '!$C:$G,"")</f>
        <v>11</v>
      </c>
      <c r="E51">
        <v>10</v>
      </c>
      <c r="F51">
        <v>5</v>
      </c>
      <c r="G51">
        <v>0</v>
      </c>
      <c r="H51">
        <v>11</v>
      </c>
      <c r="I51" cm="1">
        <f t="array" ref="I51:N51">_xlfn.XLOOKUP(A51,[3]第二次落點分析!$B:$B,[3]第二次落點分析!$C:$H,"")</f>
        <v>12</v>
      </c>
      <c r="J51">
        <v>10</v>
      </c>
      <c r="K51">
        <v>4</v>
      </c>
      <c r="L51">
        <v>6</v>
      </c>
      <c r="M51">
        <v>0</v>
      </c>
      <c r="N51">
        <v>11</v>
      </c>
      <c r="O51">
        <v>11</v>
      </c>
      <c r="P51">
        <v>9</v>
      </c>
      <c r="Q51">
        <v>5</v>
      </c>
      <c r="R51">
        <v>5</v>
      </c>
      <c r="S51">
        <v>10</v>
      </c>
    </row>
    <row r="52" spans="1:20" x14ac:dyDescent="0.25">
      <c r="A52" t="s">
        <v>78</v>
      </c>
      <c r="B52" t="s">
        <v>35</v>
      </c>
      <c r="C52" t="s">
        <v>42</v>
      </c>
      <c r="D52" cm="1">
        <f t="array" ref="D52:H52">_xlfn.XLOOKUP(A52,'[3]第一次落點分析 '!$B:$B,'[3]第一次落點分析 '!$C:$G,"")</f>
        <v>11</v>
      </c>
      <c r="E52">
        <v>9</v>
      </c>
      <c r="F52">
        <v>7</v>
      </c>
      <c r="G52">
        <v>0</v>
      </c>
      <c r="H52">
        <v>11</v>
      </c>
      <c r="I52" cm="1">
        <f t="array" ref="I52:N52">_xlfn.XLOOKUP(A52,[3]第二次落點分析!$B:$B,[3]第二次落點分析!$C:$H,"")</f>
        <v>10</v>
      </c>
      <c r="J52">
        <v>8</v>
      </c>
      <c r="K52">
        <v>5</v>
      </c>
      <c r="L52">
        <v>12</v>
      </c>
      <c r="M52">
        <v>0</v>
      </c>
      <c r="N52">
        <v>13</v>
      </c>
      <c r="O52">
        <v>10</v>
      </c>
      <c r="P52">
        <v>10</v>
      </c>
      <c r="Q52">
        <v>8</v>
      </c>
      <c r="R52">
        <v>8</v>
      </c>
      <c r="S52">
        <v>11</v>
      </c>
      <c r="T52">
        <v>6</v>
      </c>
    </row>
    <row r="53" spans="1:20" x14ac:dyDescent="0.25">
      <c r="A53" t="s">
        <v>68</v>
      </c>
      <c r="B53" t="s">
        <v>104</v>
      </c>
      <c r="C53" t="s">
        <v>43</v>
      </c>
      <c r="D53" cm="1">
        <f t="array" ref="D53:H53">_xlfn.XLOOKUP(A53,'[3]第一次落點分析 '!$B:$B,'[3]第一次落點分析 '!$C:$G,"")</f>
        <v>12</v>
      </c>
      <c r="E53">
        <v>11</v>
      </c>
      <c r="F53">
        <v>11</v>
      </c>
      <c r="G53">
        <v>10</v>
      </c>
      <c r="H53">
        <v>0</v>
      </c>
      <c r="I53" cm="1">
        <f t="array" ref="I53:N53">_xlfn.XLOOKUP(A53,[3]第二次落點分析!$B:$B,[3]第二次落點分析!$C:$H,"")</f>
        <v>12</v>
      </c>
      <c r="J53">
        <v>12</v>
      </c>
      <c r="K53">
        <v>10</v>
      </c>
      <c r="L53">
        <v>11</v>
      </c>
      <c r="M53">
        <v>10</v>
      </c>
      <c r="N53">
        <v>0</v>
      </c>
      <c r="O53">
        <v>10</v>
      </c>
      <c r="P53">
        <v>11</v>
      </c>
      <c r="Q53">
        <v>10</v>
      </c>
      <c r="T53">
        <v>10</v>
      </c>
    </row>
    <row r="54" spans="1:20" x14ac:dyDescent="0.25">
      <c r="A54" t="s">
        <v>79</v>
      </c>
      <c r="B54" t="s">
        <v>35</v>
      </c>
      <c r="C54" t="s">
        <v>43</v>
      </c>
      <c r="D54" cm="1">
        <f t="array" ref="D54:H54">_xlfn.XLOOKUP(A54,'[3]第一次落點分析 '!$B:$B,'[3]第一次落點分析 '!$C:$G,"")</f>
        <v>11</v>
      </c>
      <c r="E54">
        <v>7</v>
      </c>
      <c r="F54">
        <v>7</v>
      </c>
      <c r="G54">
        <v>9</v>
      </c>
      <c r="H54">
        <v>7</v>
      </c>
      <c r="I54" cm="1">
        <f t="array" ref="I54:N54">_xlfn.XLOOKUP(A54,[3]第二次落點分析!$B:$B,[3]第二次落點分析!$C:$H,"")</f>
        <v>12</v>
      </c>
      <c r="J54">
        <v>5</v>
      </c>
      <c r="K54">
        <v>5</v>
      </c>
      <c r="L54">
        <v>11</v>
      </c>
      <c r="M54">
        <v>10</v>
      </c>
      <c r="N54">
        <v>7</v>
      </c>
      <c r="O54">
        <v>11</v>
      </c>
      <c r="P54">
        <v>6</v>
      </c>
      <c r="Q54">
        <v>8</v>
      </c>
      <c r="R54">
        <v>8</v>
      </c>
      <c r="S54">
        <v>9</v>
      </c>
      <c r="T54">
        <v>9</v>
      </c>
    </row>
    <row r="55" spans="1:20" x14ac:dyDescent="0.25">
      <c r="A55" t="s">
        <v>69</v>
      </c>
      <c r="B55" t="s">
        <v>35</v>
      </c>
      <c r="C55" t="s">
        <v>42</v>
      </c>
      <c r="D55" cm="1">
        <f t="array" ref="D55:H55">_xlfn.XLOOKUP(A55,'[3]第一次落點分析 '!$B:$B,'[3]第一次落點分析 '!$C:$G,"")</f>
        <v>11</v>
      </c>
      <c r="E55">
        <v>5</v>
      </c>
      <c r="F55">
        <v>7</v>
      </c>
      <c r="G55">
        <v>10</v>
      </c>
      <c r="H55">
        <v>11</v>
      </c>
      <c r="I55" cm="1">
        <f t="array" ref="I55:N55">_xlfn.XLOOKUP(A55,[3]第二次落點分析!$B:$B,[3]第二次落點分析!$C:$H,"")</f>
        <v>11</v>
      </c>
      <c r="J55">
        <v>4</v>
      </c>
      <c r="K55">
        <v>7</v>
      </c>
      <c r="L55">
        <v>8</v>
      </c>
      <c r="M55">
        <v>9</v>
      </c>
      <c r="N55">
        <v>12</v>
      </c>
      <c r="O55">
        <v>10</v>
      </c>
      <c r="P55">
        <v>6</v>
      </c>
      <c r="Q55">
        <v>6</v>
      </c>
      <c r="R55">
        <v>7</v>
      </c>
      <c r="S55">
        <v>12</v>
      </c>
      <c r="T55">
        <v>10</v>
      </c>
    </row>
    <row r="56" spans="1:20" x14ac:dyDescent="0.25">
      <c r="A56" t="s">
        <v>80</v>
      </c>
      <c r="B56" t="s">
        <v>107</v>
      </c>
      <c r="C56" t="s">
        <v>43</v>
      </c>
      <c r="D56" cm="1">
        <f t="array" ref="D56:H56">_xlfn.XLOOKUP(A56,'[3]第一次落點分析 '!$B:$B,'[3]第一次落點分析 '!$C:$G,"")</f>
        <v>13</v>
      </c>
      <c r="E56">
        <v>14</v>
      </c>
      <c r="F56">
        <v>12</v>
      </c>
      <c r="G56">
        <v>11</v>
      </c>
      <c r="H56">
        <v>12</v>
      </c>
      <c r="I56" cm="1">
        <f t="array" ref="I56:N56">_xlfn.XLOOKUP(A56,[3]第二次落點分析!$B:$B,[3]第二次落點分析!$C:$H,"")</f>
        <v>14</v>
      </c>
      <c r="J56">
        <v>14</v>
      </c>
      <c r="K56">
        <v>9</v>
      </c>
      <c r="L56">
        <v>0</v>
      </c>
      <c r="M56">
        <v>11</v>
      </c>
      <c r="N56">
        <v>12</v>
      </c>
      <c r="O56">
        <v>15</v>
      </c>
      <c r="P56">
        <v>14</v>
      </c>
      <c r="Q56">
        <v>12</v>
      </c>
      <c r="R56">
        <v>11</v>
      </c>
      <c r="S56">
        <v>13</v>
      </c>
      <c r="T56">
        <v>12</v>
      </c>
    </row>
    <row r="57" spans="1:20" x14ac:dyDescent="0.25">
      <c r="A57" t="s">
        <v>70</v>
      </c>
      <c r="B57" t="s">
        <v>35</v>
      </c>
      <c r="C57" t="s">
        <v>43</v>
      </c>
      <c r="D57" cm="1">
        <f t="array" ref="D57:H57">_xlfn.XLOOKUP(A57,'[3]第一次落點分析 '!$B:$B,'[3]第一次落點分析 '!$C:$G,"")</f>
        <v>8</v>
      </c>
      <c r="E57">
        <v>4</v>
      </c>
      <c r="F57">
        <v>9</v>
      </c>
      <c r="G57">
        <v>10</v>
      </c>
      <c r="H57">
        <v>9</v>
      </c>
      <c r="I57" cm="1">
        <f t="array" ref="I57:N57">_xlfn.XLOOKUP(A57,[3]第二次落點分析!$B:$B,[3]第二次落點分析!$C:$H,"")</f>
        <v>9</v>
      </c>
      <c r="J57">
        <v>7</v>
      </c>
      <c r="K57">
        <v>7</v>
      </c>
      <c r="L57">
        <v>14</v>
      </c>
      <c r="M57">
        <v>7</v>
      </c>
      <c r="N57">
        <v>9</v>
      </c>
      <c r="O57">
        <v>7</v>
      </c>
      <c r="P57">
        <v>7</v>
      </c>
      <c r="Q57">
        <v>10</v>
      </c>
      <c r="R57">
        <v>11</v>
      </c>
      <c r="S57">
        <v>11</v>
      </c>
      <c r="T57">
        <v>10</v>
      </c>
    </row>
    <row r="58" spans="1:20" x14ac:dyDescent="0.25">
      <c r="A58" t="s">
        <v>81</v>
      </c>
      <c r="B58" t="s">
        <v>39</v>
      </c>
      <c r="C58" t="s">
        <v>43</v>
      </c>
      <c r="D58" cm="1">
        <f t="array" ref="D58:H58">_xlfn.XLOOKUP(A58,'[3]第一次落點分析 '!$B:$B,'[3]第一次落點分析 '!$C:$G,"")</f>
        <v>8</v>
      </c>
      <c r="E58">
        <v>2</v>
      </c>
      <c r="F58">
        <v>7</v>
      </c>
      <c r="G58">
        <v>7</v>
      </c>
      <c r="H58">
        <v>9</v>
      </c>
      <c r="I58" cm="1">
        <f t="array" ref="I58:N58">_xlfn.XLOOKUP(A58,[3]第二次落點分析!$B:$B,[3]第二次落點分析!$C:$H,"")</f>
        <v>9</v>
      </c>
      <c r="J58">
        <v>3</v>
      </c>
      <c r="K58">
        <v>4</v>
      </c>
      <c r="L58">
        <v>7</v>
      </c>
      <c r="M58">
        <v>5</v>
      </c>
      <c r="N58">
        <v>8</v>
      </c>
      <c r="O58">
        <v>9</v>
      </c>
      <c r="P58">
        <v>3</v>
      </c>
      <c r="Q58">
        <v>5</v>
      </c>
      <c r="R58">
        <v>7</v>
      </c>
      <c r="S58">
        <v>8</v>
      </c>
      <c r="T58">
        <v>8</v>
      </c>
    </row>
    <row r="59" spans="1:20" x14ac:dyDescent="0.25">
      <c r="A59" t="s">
        <v>71</v>
      </c>
      <c r="B59" t="s">
        <v>102</v>
      </c>
      <c r="C59" t="s">
        <v>42</v>
      </c>
      <c r="D59" cm="1">
        <f t="array" ref="D59:H59">_xlfn.XLOOKUP(A59,'[3]第一次落點分析 '!$B:$B,'[3]第一次落點分析 '!$C:$G,"")</f>
        <v>11</v>
      </c>
      <c r="E59">
        <v>9</v>
      </c>
      <c r="F59">
        <v>8</v>
      </c>
      <c r="G59">
        <v>0</v>
      </c>
      <c r="H59">
        <v>13</v>
      </c>
      <c r="I59" cm="1">
        <f t="array" ref="I59:N59">_xlfn.XLOOKUP(A59,[3]第二次落點分析!$B:$B,[3]第二次落點分析!$C:$H,"")</f>
        <v>11</v>
      </c>
      <c r="J59">
        <v>7</v>
      </c>
      <c r="K59">
        <v>8</v>
      </c>
      <c r="L59">
        <v>9</v>
      </c>
      <c r="M59">
        <v>0</v>
      </c>
      <c r="N59">
        <v>14</v>
      </c>
      <c r="O59">
        <v>12</v>
      </c>
      <c r="P59">
        <v>9</v>
      </c>
      <c r="Q59">
        <v>9</v>
      </c>
      <c r="R59">
        <v>10</v>
      </c>
      <c r="S59">
        <v>13</v>
      </c>
    </row>
    <row r="60" spans="1:20" x14ac:dyDescent="0.25">
      <c r="A60" t="s">
        <v>72</v>
      </c>
      <c r="B60" t="s">
        <v>108</v>
      </c>
      <c r="C60" t="s">
        <v>42</v>
      </c>
      <c r="D60" cm="1">
        <f t="array" ref="D60:H60">_xlfn.XLOOKUP(A60,'[3]第一次落點分析 '!$B:$B,'[3]第一次落點分析 '!$C:$G,"")</f>
        <v>12</v>
      </c>
      <c r="E60">
        <v>6</v>
      </c>
      <c r="F60">
        <v>7</v>
      </c>
      <c r="G60">
        <v>0</v>
      </c>
      <c r="H60">
        <v>10</v>
      </c>
      <c r="I60" cm="1">
        <f t="array" ref="I60:N60">_xlfn.XLOOKUP(A60,[3]第二次落點分析!$B:$B,[3]第二次落點分析!$C:$H,"")</f>
        <v>11</v>
      </c>
      <c r="J60">
        <v>7</v>
      </c>
      <c r="K60">
        <v>6</v>
      </c>
      <c r="L60">
        <v>10</v>
      </c>
      <c r="M60">
        <v>0</v>
      </c>
      <c r="N60">
        <v>12</v>
      </c>
      <c r="O60">
        <v>10</v>
      </c>
      <c r="P60">
        <v>10</v>
      </c>
      <c r="Q60">
        <v>7</v>
      </c>
      <c r="R60">
        <v>8</v>
      </c>
      <c r="S60">
        <v>11</v>
      </c>
    </row>
    <row r="61" spans="1:20" x14ac:dyDescent="0.25">
      <c r="A61" t="s">
        <v>82</v>
      </c>
      <c r="B61" t="s">
        <v>97</v>
      </c>
      <c r="C61" t="s">
        <v>43</v>
      </c>
      <c r="D61" cm="1">
        <f t="array" ref="D61:H61">_xlfn.XLOOKUP(A61,'[3]第一次落點分析 '!$B:$B,'[3]第一次落點分析 '!$C:$G,"")</f>
        <v>12</v>
      </c>
      <c r="E61">
        <v>11</v>
      </c>
      <c r="F61">
        <v>10</v>
      </c>
      <c r="G61">
        <v>11</v>
      </c>
      <c r="H61">
        <v>14</v>
      </c>
      <c r="I61" cm="1">
        <f t="array" ref="I61:N61">_xlfn.XLOOKUP(A61,[3]第二次落點分析!$B:$B,[3]第二次落點分析!$C:$H,"")</f>
        <v>13</v>
      </c>
      <c r="J61">
        <v>11</v>
      </c>
      <c r="K61">
        <v>11</v>
      </c>
      <c r="L61">
        <v>0</v>
      </c>
      <c r="M61">
        <v>11</v>
      </c>
      <c r="N61">
        <v>14</v>
      </c>
      <c r="O61">
        <v>13</v>
      </c>
      <c r="P61">
        <v>10</v>
      </c>
      <c r="Q61">
        <v>10</v>
      </c>
      <c r="S61">
        <v>13</v>
      </c>
      <c r="T61">
        <v>11</v>
      </c>
    </row>
    <row r="62" spans="1:20" x14ac:dyDescent="0.25">
      <c r="A62" t="s">
        <v>83</v>
      </c>
      <c r="B62" t="s">
        <v>103</v>
      </c>
      <c r="C62" t="s">
        <v>42</v>
      </c>
      <c r="D62" cm="1">
        <f t="array" ref="D62:H62">_xlfn.XLOOKUP(A62,'[3]第一次落點分析 '!$B:$B,'[3]第一次落點分析 '!$C:$G,"")</f>
        <v>12</v>
      </c>
      <c r="E62">
        <v>10</v>
      </c>
      <c r="F62">
        <v>10</v>
      </c>
      <c r="G62">
        <v>10</v>
      </c>
      <c r="H62">
        <v>13</v>
      </c>
      <c r="I62" cm="1">
        <f t="array" ref="I62:N62">_xlfn.XLOOKUP(A62,[3]第二次落點分析!$B:$B,[3]第二次落點分析!$C:$H,"")</f>
        <v>11</v>
      </c>
      <c r="J62">
        <v>11</v>
      </c>
      <c r="K62">
        <v>10</v>
      </c>
      <c r="L62">
        <v>13</v>
      </c>
      <c r="M62">
        <v>10</v>
      </c>
      <c r="N62">
        <v>14</v>
      </c>
      <c r="O62">
        <v>14</v>
      </c>
      <c r="P62">
        <v>13</v>
      </c>
      <c r="Q62">
        <v>10</v>
      </c>
      <c r="R62">
        <v>10</v>
      </c>
      <c r="S62">
        <v>14</v>
      </c>
      <c r="T62">
        <v>10</v>
      </c>
    </row>
    <row r="63" spans="1:20" x14ac:dyDescent="0.25">
      <c r="A63" t="s">
        <v>73</v>
      </c>
      <c r="B63" t="s">
        <v>32</v>
      </c>
      <c r="C63" t="s">
        <v>43</v>
      </c>
      <c r="D63" cm="1">
        <f t="array" ref="D63:H63">_xlfn.XLOOKUP(A63,'[3]第一次落點分析 '!$B:$B,'[3]第一次落點分析 '!$C:$G,"")</f>
        <v>8</v>
      </c>
      <c r="E63">
        <v>6</v>
      </c>
      <c r="F63">
        <v>6</v>
      </c>
      <c r="G63">
        <v>8</v>
      </c>
      <c r="H63">
        <v>0</v>
      </c>
      <c r="I63" cm="1">
        <f t="array" ref="I63:N63">_xlfn.XLOOKUP(A63,[3]第二次落點分析!$B:$B,[3]第二次落點分析!$C:$H,"")</f>
        <v>11</v>
      </c>
      <c r="J63">
        <v>5</v>
      </c>
      <c r="K63">
        <v>7</v>
      </c>
      <c r="L63">
        <v>0</v>
      </c>
      <c r="M63">
        <v>9</v>
      </c>
      <c r="N63">
        <v>4</v>
      </c>
      <c r="O63">
        <v>8</v>
      </c>
      <c r="P63">
        <v>6</v>
      </c>
      <c r="Q63">
        <v>6</v>
      </c>
      <c r="R63">
        <v>9</v>
      </c>
      <c r="T63">
        <v>7</v>
      </c>
    </row>
    <row r="64" spans="1:20" x14ac:dyDescent="0.25">
      <c r="A64" t="s">
        <v>84</v>
      </c>
      <c r="B64" t="s">
        <v>36</v>
      </c>
      <c r="C64" t="s">
        <v>43</v>
      </c>
      <c r="D64" cm="1">
        <f t="array" ref="D64:H64">_xlfn.XLOOKUP(A64,'[3]第一次落點分析 '!$B:$B,'[3]第一次落點分析 '!$C:$G,"")</f>
        <v>11</v>
      </c>
      <c r="E64">
        <v>14</v>
      </c>
      <c r="F64">
        <v>12</v>
      </c>
      <c r="G64">
        <v>10</v>
      </c>
      <c r="H64">
        <v>1</v>
      </c>
      <c r="I64" cm="1">
        <f t="array" ref="I64:N64">_xlfn.XLOOKUP(A64,[3]第二次落點分析!$B:$B,[3]第二次落點分析!$C:$H,"")</f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10</v>
      </c>
      <c r="P64">
        <v>12</v>
      </c>
      <c r="Q64">
        <v>10</v>
      </c>
      <c r="T64">
        <v>11</v>
      </c>
    </row>
    <row r="65" spans="1:20" x14ac:dyDescent="0.25">
      <c r="A65" t="s">
        <v>74</v>
      </c>
      <c r="B65" t="s">
        <v>32</v>
      </c>
      <c r="C65" t="s">
        <v>43</v>
      </c>
      <c r="D65" cm="1">
        <f t="array" ref="D65:H65">_xlfn.XLOOKUP(A65,'[3]第一次落點分析 '!$B:$B,'[3]第一次落點分析 '!$C:$G,"")</f>
        <v>11</v>
      </c>
      <c r="E65">
        <v>10</v>
      </c>
      <c r="F65">
        <v>8</v>
      </c>
      <c r="G65">
        <v>10</v>
      </c>
      <c r="H65">
        <v>0</v>
      </c>
      <c r="I65" cm="1">
        <f t="array" ref="I65:N65">_xlfn.XLOOKUP(A65,[3]第二次落點分析!$B:$B,[3]第二次落點分析!$C:$H,"")</f>
        <v>10</v>
      </c>
      <c r="J65">
        <v>9</v>
      </c>
      <c r="K65">
        <v>5</v>
      </c>
      <c r="L65">
        <v>6</v>
      </c>
      <c r="M65">
        <v>10</v>
      </c>
      <c r="N65">
        <v>6</v>
      </c>
      <c r="O65">
        <v>10</v>
      </c>
      <c r="P65">
        <v>10</v>
      </c>
      <c r="Q65">
        <v>9</v>
      </c>
      <c r="R65">
        <v>7</v>
      </c>
      <c r="S65">
        <v>7</v>
      </c>
      <c r="T65">
        <v>11</v>
      </c>
    </row>
    <row r="66" spans="1:20" x14ac:dyDescent="0.25">
      <c r="A66" t="s">
        <v>85</v>
      </c>
      <c r="B66" t="s">
        <v>109</v>
      </c>
      <c r="C66" t="s">
        <v>43</v>
      </c>
      <c r="D66" cm="1">
        <f t="array" ref="D66:H66">_xlfn.XLOOKUP(A66,'[3]第一次落點分析 '!$B:$B,'[3]第一次落點分析 '!$C:$G,"")</f>
        <v>0</v>
      </c>
      <c r="E66">
        <v>0</v>
      </c>
      <c r="F66">
        <v>0</v>
      </c>
      <c r="G66">
        <v>0</v>
      </c>
      <c r="H66">
        <v>0</v>
      </c>
      <c r="I66" cm="1">
        <f t="array" ref="I66:N66">_xlfn.XLOOKUP(A66,[3]第二次落點分析!$B:$B,[3]第二次落點分析!$C:$H,"")</f>
        <v>7</v>
      </c>
      <c r="J66">
        <v>4</v>
      </c>
      <c r="K66">
        <v>3</v>
      </c>
      <c r="L66">
        <v>3</v>
      </c>
      <c r="M66">
        <v>4</v>
      </c>
      <c r="N66">
        <v>8</v>
      </c>
      <c r="O66">
        <v>6</v>
      </c>
      <c r="P66">
        <v>5</v>
      </c>
      <c r="Q66">
        <v>4</v>
      </c>
      <c r="R66">
        <v>3</v>
      </c>
      <c r="S66">
        <v>9</v>
      </c>
      <c r="T66">
        <v>7</v>
      </c>
    </row>
    <row r="67" spans="1:20" x14ac:dyDescent="0.25">
      <c r="A67" t="s">
        <v>86</v>
      </c>
      <c r="B67" t="s">
        <v>110</v>
      </c>
      <c r="C67" t="s">
        <v>43</v>
      </c>
      <c r="D67" cm="1">
        <f t="array" ref="D67:H67">_xlfn.XLOOKUP(A67,'[3]第一次落點分析 '!$B:$B,'[3]第一次落點分析 '!$C:$G,"")</f>
        <v>10</v>
      </c>
      <c r="E67">
        <v>7</v>
      </c>
      <c r="F67">
        <v>6</v>
      </c>
      <c r="G67">
        <v>7</v>
      </c>
      <c r="H67">
        <v>9</v>
      </c>
      <c r="I67" cm="1">
        <f t="array" ref="I67:N67">_xlfn.XLOOKUP(A67,[3]第二次落點分析!$B:$B,[3]第二次落點分析!$C:$H,"")</f>
        <v>10</v>
      </c>
      <c r="J67">
        <v>6</v>
      </c>
      <c r="K67">
        <v>4</v>
      </c>
      <c r="L67">
        <v>0</v>
      </c>
      <c r="M67">
        <v>8</v>
      </c>
      <c r="N67">
        <v>7</v>
      </c>
      <c r="O67">
        <v>10</v>
      </c>
      <c r="P67">
        <v>7</v>
      </c>
      <c r="Q67">
        <v>7</v>
      </c>
      <c r="R67">
        <v>5</v>
      </c>
      <c r="S67">
        <v>10</v>
      </c>
      <c r="T67">
        <v>8</v>
      </c>
    </row>
    <row r="68" spans="1:20" x14ac:dyDescent="0.25">
      <c r="A68" t="s">
        <v>87</v>
      </c>
      <c r="B68" t="s">
        <v>38</v>
      </c>
      <c r="C68" t="s">
        <v>42</v>
      </c>
      <c r="D68" cm="1">
        <f t="array" ref="D68:H68">_xlfn.XLOOKUP(A68,'[3]第一次落點分析 '!$B:$B,'[3]第一次落點分析 '!$C:$G,"")</f>
        <v>12</v>
      </c>
      <c r="E68">
        <v>5</v>
      </c>
      <c r="F68">
        <v>6</v>
      </c>
      <c r="G68">
        <v>7</v>
      </c>
      <c r="H68">
        <v>9</v>
      </c>
      <c r="I68" cm="1">
        <f t="array" ref="I68:N68">_xlfn.XLOOKUP(A68,[3]第二次落點分析!$B:$B,[3]第二次落點分析!$C:$H,"")</f>
        <v>11</v>
      </c>
      <c r="J68">
        <v>7</v>
      </c>
      <c r="K68">
        <v>4</v>
      </c>
      <c r="L68">
        <v>5</v>
      </c>
      <c r="M68">
        <v>6</v>
      </c>
      <c r="N68">
        <v>10</v>
      </c>
      <c r="O68">
        <v>12</v>
      </c>
      <c r="P68">
        <v>7</v>
      </c>
      <c r="Q68">
        <v>3</v>
      </c>
      <c r="R68">
        <v>6</v>
      </c>
      <c r="S68">
        <v>11</v>
      </c>
      <c r="T68">
        <v>7</v>
      </c>
    </row>
    <row r="69" spans="1:20" x14ac:dyDescent="0.25">
      <c r="A69" t="s">
        <v>88</v>
      </c>
      <c r="B69" t="s">
        <v>39</v>
      </c>
      <c r="C69" t="s">
        <v>43</v>
      </c>
      <c r="D69" cm="1">
        <f t="array" ref="D69:H69">_xlfn.XLOOKUP(A69,'[3]第一次落點分析 '!$B:$B,'[3]第一次落點分析 '!$C:$G,"")</f>
        <v>0</v>
      </c>
      <c r="E69">
        <v>0</v>
      </c>
      <c r="F69">
        <v>0</v>
      </c>
      <c r="G69">
        <v>0</v>
      </c>
      <c r="H69">
        <v>0</v>
      </c>
      <c r="I69" cm="1">
        <f t="array" ref="I69:N69">_xlfn.XLOOKUP(A69,[3]第二次落點分析!$B:$B,[3]第二次落點分析!$C:$H,"")</f>
        <v>10</v>
      </c>
      <c r="J69">
        <v>5</v>
      </c>
      <c r="K69">
        <v>5</v>
      </c>
      <c r="L69">
        <v>5</v>
      </c>
      <c r="M69">
        <v>10</v>
      </c>
      <c r="N69">
        <v>8</v>
      </c>
    </row>
    <row r="70" spans="1:20" x14ac:dyDescent="0.25">
      <c r="A70" t="s">
        <v>89</v>
      </c>
      <c r="B70" t="s">
        <v>39</v>
      </c>
      <c r="C70" t="s">
        <v>43</v>
      </c>
      <c r="D70" cm="1">
        <f t="array" ref="D70:H70">_xlfn.XLOOKUP(A70,'[3]第一次落點分析 '!$B:$B,'[3]第一次落點分析 '!$C:$G,"")</f>
        <v>12</v>
      </c>
      <c r="E70">
        <v>7</v>
      </c>
      <c r="F70">
        <v>6</v>
      </c>
      <c r="G70">
        <v>9</v>
      </c>
      <c r="H70">
        <v>10</v>
      </c>
      <c r="I70" cm="1">
        <f t="array" ref="I70:N70">_xlfn.XLOOKUP(A70,[3]第二次落點分析!$B:$B,[3]第二次落點分析!$C:$H,"")</f>
        <v>12</v>
      </c>
      <c r="J70">
        <v>7</v>
      </c>
      <c r="K70">
        <v>5</v>
      </c>
      <c r="L70">
        <v>7</v>
      </c>
      <c r="M70">
        <v>7</v>
      </c>
      <c r="N70">
        <v>8</v>
      </c>
      <c r="O70">
        <v>10</v>
      </c>
      <c r="P70">
        <v>6</v>
      </c>
      <c r="Q70">
        <v>8</v>
      </c>
      <c r="R70">
        <v>7</v>
      </c>
      <c r="S70">
        <v>8</v>
      </c>
      <c r="T70">
        <v>12</v>
      </c>
    </row>
    <row r="71" spans="1:20" x14ac:dyDescent="0.25">
      <c r="A71" t="s">
        <v>90</v>
      </c>
      <c r="B71" t="s">
        <v>39</v>
      </c>
      <c r="C71" t="s">
        <v>42</v>
      </c>
      <c r="D71" cm="1">
        <f t="array" ref="D71:H71">_xlfn.XLOOKUP(A71,'[3]第一次落點分析 '!$B:$B,'[3]第一次落點分析 '!$C:$G,"")</f>
        <v>11</v>
      </c>
      <c r="E71">
        <v>8</v>
      </c>
      <c r="F71">
        <v>0</v>
      </c>
      <c r="G71">
        <v>0</v>
      </c>
      <c r="H71">
        <v>9</v>
      </c>
      <c r="I71" cm="1">
        <f t="array" ref="I71:N71">_xlfn.XLOOKUP(A71,[3]第二次落點分析!$B:$B,[3]第二次落點分析!$C:$H,"")</f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10</v>
      </c>
      <c r="P71">
        <v>7</v>
      </c>
      <c r="R71">
        <v>3</v>
      </c>
      <c r="S71">
        <v>9</v>
      </c>
    </row>
    <row r="72" spans="1:20" x14ac:dyDescent="0.25">
      <c r="A72" t="s">
        <v>91</v>
      </c>
      <c r="B72" t="s">
        <v>111</v>
      </c>
      <c r="C72" t="s">
        <v>42</v>
      </c>
      <c r="D72" cm="1">
        <f t="array" ref="D72:H72">_xlfn.XLOOKUP(A72,'[3]第一次落點分析 '!$B:$B,'[3]第一次落點分析 '!$C:$G,"")</f>
        <v>9</v>
      </c>
      <c r="E72">
        <v>6</v>
      </c>
      <c r="F72">
        <v>6</v>
      </c>
      <c r="G72">
        <v>3</v>
      </c>
      <c r="H72">
        <v>7</v>
      </c>
      <c r="I72" cm="1">
        <f t="array" ref="I72:N72">_xlfn.XLOOKUP(A72,[3]第二次落點分析!$B:$B,[3]第二次落點分析!$C:$H,"")</f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10</v>
      </c>
      <c r="P72">
        <v>4</v>
      </c>
      <c r="Q72">
        <v>2</v>
      </c>
      <c r="R72">
        <v>5</v>
      </c>
      <c r="S72">
        <v>8</v>
      </c>
      <c r="T72">
        <v>4</v>
      </c>
    </row>
    <row r="73" spans="1:20" x14ac:dyDescent="0.25">
      <c r="A73" t="s">
        <v>92</v>
      </c>
      <c r="B73" t="s">
        <v>35</v>
      </c>
      <c r="C73" t="s">
        <v>43</v>
      </c>
      <c r="D73" cm="1">
        <f t="array" ref="D73:H73">_xlfn.XLOOKUP(A73,'[3]第一次落點分析 '!$B:$B,'[3]第一次落點分析 '!$C:$G,"")</f>
        <v>12</v>
      </c>
      <c r="E73">
        <v>9</v>
      </c>
      <c r="F73">
        <v>6</v>
      </c>
      <c r="G73">
        <v>7</v>
      </c>
      <c r="H73">
        <v>10</v>
      </c>
      <c r="I73" cm="1">
        <f t="array" ref="I73:N73">_xlfn.XLOOKUP(A73,[3]第二次落點分析!$B:$B,[3]第二次落點分析!$C:$H,"")</f>
        <v>12</v>
      </c>
      <c r="J73">
        <v>10</v>
      </c>
      <c r="K73">
        <v>3</v>
      </c>
      <c r="L73">
        <v>6</v>
      </c>
      <c r="M73">
        <v>9</v>
      </c>
      <c r="N73">
        <v>10</v>
      </c>
      <c r="O73">
        <v>14</v>
      </c>
      <c r="P73">
        <v>9</v>
      </c>
      <c r="Q73">
        <v>6</v>
      </c>
      <c r="R73">
        <v>6</v>
      </c>
      <c r="S73">
        <v>11</v>
      </c>
      <c r="T73">
        <v>9</v>
      </c>
    </row>
    <row r="74" spans="1:20" x14ac:dyDescent="0.25">
      <c r="A74" t="s">
        <v>93</v>
      </c>
      <c r="B74" t="s">
        <v>39</v>
      </c>
      <c r="C74" t="s">
        <v>43</v>
      </c>
      <c r="D74" cm="1">
        <f t="array" ref="D74:H74">_xlfn.XLOOKUP(A74,'[3]第一次落點分析 '!$B:$B,'[3]第一次落點分析 '!$C:$G,"")</f>
        <v>8</v>
      </c>
      <c r="E74">
        <v>6</v>
      </c>
      <c r="F74">
        <v>6</v>
      </c>
      <c r="G74">
        <v>6</v>
      </c>
      <c r="H74">
        <v>7</v>
      </c>
      <c r="I74" cm="1">
        <f t="array" ref="I74:N74">_xlfn.XLOOKUP(A74,[3]第二次落點分析!$B:$B,[3]第二次落點分析!$C:$H,"")</f>
        <v>9</v>
      </c>
      <c r="J74">
        <v>6</v>
      </c>
      <c r="K74">
        <v>4</v>
      </c>
      <c r="L74">
        <v>8</v>
      </c>
      <c r="M74">
        <v>6</v>
      </c>
      <c r="N74">
        <v>7</v>
      </c>
    </row>
    <row r="75" spans="1:20" x14ac:dyDescent="0.25">
      <c r="A75" t="s">
        <v>94</v>
      </c>
      <c r="B75" t="s">
        <v>39</v>
      </c>
      <c r="C75" t="s">
        <v>43</v>
      </c>
      <c r="D75" cm="1">
        <f t="array" ref="D75:H75">_xlfn.XLOOKUP(A75,'[3]第一次落點分析 '!$B:$B,'[3]第一次落點分析 '!$C:$G,"")</f>
        <v>8</v>
      </c>
      <c r="E75">
        <v>5</v>
      </c>
      <c r="F75">
        <v>8</v>
      </c>
      <c r="G75">
        <v>10</v>
      </c>
      <c r="H75">
        <v>0</v>
      </c>
      <c r="I75" cm="1">
        <f t="array" ref="I75:N75">_xlfn.XLOOKUP(A75,[3]第二次落點分析!$B:$B,[3]第二次落點分析!$C:$H,"")</f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20" x14ac:dyDescent="0.25">
      <c r="A76" t="s">
        <v>95</v>
      </c>
      <c r="B76" t="s">
        <v>32</v>
      </c>
      <c r="C76" t="s">
        <v>42</v>
      </c>
      <c r="D76" cm="1">
        <f t="array" ref="D76:H76">_xlfn.XLOOKUP(A76,'[3]第一次落點分析 '!$B:$B,'[3]第一次落點分析 '!$C:$G,"")</f>
        <v>8</v>
      </c>
      <c r="E76">
        <v>8</v>
      </c>
      <c r="F76">
        <v>5</v>
      </c>
      <c r="G76">
        <v>0</v>
      </c>
      <c r="H76">
        <v>12</v>
      </c>
      <c r="I76" cm="1">
        <f t="array" ref="I76:N76">_xlfn.XLOOKUP(A76,[3]第二次落點分析!$B:$B,[3]第二次落點分析!$C:$H,"")</f>
        <v>0</v>
      </c>
      <c r="J76">
        <v>7</v>
      </c>
      <c r="K76">
        <v>0</v>
      </c>
      <c r="L76">
        <v>5</v>
      </c>
      <c r="M76">
        <v>0</v>
      </c>
      <c r="N76">
        <v>0</v>
      </c>
      <c r="O76">
        <v>12</v>
      </c>
      <c r="P76">
        <v>6</v>
      </c>
      <c r="Q76">
        <v>4</v>
      </c>
      <c r="R76">
        <v>4</v>
      </c>
      <c r="S76">
        <v>13</v>
      </c>
      <c r="T76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t29470</cp:lastModifiedBy>
  <dcterms:created xsi:type="dcterms:W3CDTF">2015-06-05T18:19:34Z</dcterms:created>
  <dcterms:modified xsi:type="dcterms:W3CDTF">2026-03-22T07:36:21Z</dcterms:modified>
</cp:coreProperties>
</file>